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Car List" sheetId="1" r:id="rId5"/>
    <sheet state="visible" name="Detailed Car List" sheetId="2" r:id="rId6"/>
    <sheet state="visible" name="Detailed Car List + Stats" sheetId="3" r:id="rId7"/>
  </sheets>
  <definedNames>
    <definedName hidden="1" localSheetId="0" name="_xlnm._FilterDatabase">'Simple Car List'!$A$1:$F$988</definedName>
    <definedName hidden="1" localSheetId="1" name="_xlnm._FilterDatabase">'Detailed Car List'!$A$1:$J$1018</definedName>
    <definedName hidden="1" localSheetId="2" name="_xlnm._FilterDatabase">'Detailed Car List + Stats'!$A$1:$U$1018</definedName>
  </definedNames>
  <calcPr/>
</workbook>
</file>

<file path=xl/sharedStrings.xml><?xml version="1.0" encoding="utf-8"?>
<sst xmlns="http://schemas.openxmlformats.org/spreadsheetml/2006/main" count="7920" uniqueCount="1268">
  <si>
    <t>Owned?</t>
  </si>
  <si>
    <t>Year</t>
  </si>
  <si>
    <t>Make</t>
  </si>
  <si>
    <t>Model</t>
  </si>
  <si>
    <t>Type</t>
  </si>
  <si>
    <t>Class</t>
  </si>
  <si>
    <t>Country</t>
  </si>
  <si>
    <t>Value (Cr)</t>
  </si>
  <si>
    <t>Rarity</t>
  </si>
  <si>
    <t>Source</t>
  </si>
  <si>
    <t>Source Info</t>
  </si>
  <si>
    <t>Power (HP)</t>
  </si>
  <si>
    <t>Torque (ft-lbs)</t>
  </si>
  <si>
    <t>Weight (lbs)</t>
  </si>
  <si>
    <t>Balance (F)</t>
  </si>
  <si>
    <t>Displacement (L)</t>
  </si>
  <si>
    <t>Drivetrain</t>
  </si>
  <si>
    <t>Engine Pos.</t>
  </si>
  <si>
    <t>Pounds Per HP</t>
  </si>
  <si>
    <t>Balance Penalty</t>
  </si>
  <si>
    <t>Weight Index</t>
  </si>
  <si>
    <t>2017</t>
  </si>
  <si>
    <t>Abarth</t>
  </si>
  <si>
    <t>124 Spider</t>
  </si>
  <si>
    <t>Modern Sports Cars</t>
  </si>
  <si>
    <t>C 450</t>
  </si>
  <si>
    <t>Italy</t>
  </si>
  <si>
    <t>Rare</t>
  </si>
  <si>
    <t xml:space="preserve">C </t>
  </si>
  <si>
    <t>Rear</t>
  </si>
  <si>
    <t>Front</t>
  </si>
  <si>
    <t xml:space="preserve">D </t>
  </si>
  <si>
    <t>D 100</t>
  </si>
  <si>
    <t>Common</t>
  </si>
  <si>
    <t>Seasonal</t>
  </si>
  <si>
    <t xml:space="preserve">B </t>
  </si>
  <si>
    <t>1968</t>
  </si>
  <si>
    <t>595 Esseesse</t>
  </si>
  <si>
    <t>Cult Cars</t>
  </si>
  <si>
    <t>B 540</t>
  </si>
  <si>
    <t>Autoshow, Wheelspin</t>
  </si>
  <si>
    <t>2016</t>
  </si>
  <si>
    <t>695 Biposto</t>
  </si>
  <si>
    <t>Hot Hatch</t>
  </si>
  <si>
    <t>1980</t>
  </si>
  <si>
    <t>Fiat 131</t>
  </si>
  <si>
    <t>Classic Rally</t>
  </si>
  <si>
    <t>D 399</t>
  </si>
  <si>
    <t>2023</t>
  </si>
  <si>
    <t>Acura</t>
  </si>
  <si>
    <t>Integra A-Spec</t>
  </si>
  <si>
    <t>C 484</t>
  </si>
  <si>
    <t>USA</t>
  </si>
  <si>
    <t>S1</t>
  </si>
  <si>
    <t>2001</t>
  </si>
  <si>
    <t>Integra Type R</t>
  </si>
  <si>
    <t>Retro Hot Hatch</t>
  </si>
  <si>
    <t>C 471</t>
  </si>
  <si>
    <t>2022</t>
  </si>
  <si>
    <t>NSX Type S</t>
  </si>
  <si>
    <t>Modern Supercars</t>
  </si>
  <si>
    <t>S1 734</t>
  </si>
  <si>
    <t>Epic</t>
  </si>
  <si>
    <t>2002</t>
  </si>
  <si>
    <t>RSX Type S</t>
  </si>
  <si>
    <t>C 462</t>
  </si>
  <si>
    <t>1992</t>
  </si>
  <si>
    <t>Alfa Romeo</t>
  </si>
  <si>
    <t>155 Q4</t>
  </si>
  <si>
    <t>Retro Super Saloons</t>
  </si>
  <si>
    <t>C 439</t>
  </si>
  <si>
    <t>All</t>
  </si>
  <si>
    <t>Autoshow</t>
  </si>
  <si>
    <t>33 Stradale</t>
  </si>
  <si>
    <t>Classic Racers</t>
  </si>
  <si>
    <t>B 593</t>
  </si>
  <si>
    <t>Legendary</t>
  </si>
  <si>
    <t>Mid</t>
  </si>
  <si>
    <t xml:space="preserve">A </t>
  </si>
  <si>
    <t>2014</t>
  </si>
  <si>
    <t>4C</t>
  </si>
  <si>
    <t>A 644</t>
  </si>
  <si>
    <t>2007</t>
  </si>
  <si>
    <t>8C Competizione</t>
  </si>
  <si>
    <t>GT Cars</t>
  </si>
  <si>
    <t>A 635</t>
  </si>
  <si>
    <t>Autodelta Tipo 33/2 Daytona</t>
  </si>
  <si>
    <t>A 696</t>
  </si>
  <si>
    <t>Autoshow DLC</t>
  </si>
  <si>
    <t>Car Pass</t>
  </si>
  <si>
    <t>2021</t>
  </si>
  <si>
    <t>Giulia GTAm</t>
  </si>
  <si>
    <t>Modern Super Saloons</t>
  </si>
  <si>
    <t>S1 711</t>
  </si>
  <si>
    <t>Italian Passion Car Pack</t>
  </si>
  <si>
    <t>Giulia Quadrifoglio</t>
  </si>
  <si>
    <t>A 667</t>
  </si>
  <si>
    <t>1965</t>
  </si>
  <si>
    <t>Giulia Sprint GTA Stradale</t>
  </si>
  <si>
    <t>Rare Classics</t>
  </si>
  <si>
    <t>D 379</t>
  </si>
  <si>
    <t>Giulia TZ2</t>
  </si>
  <si>
    <t>B 532</t>
  </si>
  <si>
    <t>Collection Journal, Seasonal</t>
  </si>
  <si>
    <t>1990</t>
  </si>
  <si>
    <t>SE 048SP</t>
  </si>
  <si>
    <t>Retro Racers</t>
  </si>
  <si>
    <t>R 978</t>
  </si>
  <si>
    <t xml:space="preserve">R </t>
  </si>
  <si>
    <t>Alumicraft</t>
  </si>
  <si>
    <t>#122 Class 1 Buggy</t>
  </si>
  <si>
    <t>Unlimited Buggies</t>
  </si>
  <si>
    <t>B 571</t>
  </si>
  <si>
    <t>#6165 Trick Truck</t>
  </si>
  <si>
    <t>Unlimited Offroad</t>
  </si>
  <si>
    <t>C 485</t>
  </si>
  <si>
    <t>2015</t>
  </si>
  <si>
    <t>Class 10 Race Car</t>
  </si>
  <si>
    <t>2554</t>
  </si>
  <si>
    <t>AMG Transport Dynamics</t>
  </si>
  <si>
    <t>M12S Warthog CST</t>
  </si>
  <si>
    <t>A 663</t>
  </si>
  <si>
    <t>Autoshow, Collection Journal</t>
  </si>
  <si>
    <t>2019</t>
  </si>
  <si>
    <t>Apollo</t>
  </si>
  <si>
    <t>Intensa Emozione</t>
  </si>
  <si>
    <t>Extreme Track Toys</t>
  </si>
  <si>
    <t>R 916</t>
  </si>
  <si>
    <t>Germany</t>
  </si>
  <si>
    <t>Wheelspin, Seasonal</t>
  </si>
  <si>
    <t>2013</t>
  </si>
  <si>
    <t>Ariel</t>
  </si>
  <si>
    <t>Atom 500 V8</t>
  </si>
  <si>
    <t>S2 825</t>
  </si>
  <si>
    <t>UK</t>
  </si>
  <si>
    <t>Nomad</t>
  </si>
  <si>
    <t>A 601</t>
  </si>
  <si>
    <t>Autoshow, Collection Journal, Wheelspin</t>
  </si>
  <si>
    <t>S2</t>
  </si>
  <si>
    <t>Aston Martin</t>
  </si>
  <si>
    <t>DB11</t>
  </si>
  <si>
    <t>Super GT</t>
  </si>
  <si>
    <t>A 679</t>
  </si>
  <si>
    <t>1964</t>
  </si>
  <si>
    <t>DB5</t>
  </si>
  <si>
    <t>C 416</t>
  </si>
  <si>
    <t>2003</t>
  </si>
  <si>
    <t>DB7 GT</t>
  </si>
  <si>
    <t>Retro Sports Cars</t>
  </si>
  <si>
    <t>B 566</t>
  </si>
  <si>
    <t>DBS Superleggera</t>
  </si>
  <si>
    <t>S1 736</t>
  </si>
  <si>
    <t>DBX</t>
  </si>
  <si>
    <t>Sports Utility Heroes</t>
  </si>
  <si>
    <t>A 618</t>
  </si>
  <si>
    <t>Valhalla Concept Car</t>
  </si>
  <si>
    <t>Hypercars</t>
  </si>
  <si>
    <t>R 960</t>
  </si>
  <si>
    <t>Valkyrie</t>
  </si>
  <si>
    <t>R 924</t>
  </si>
  <si>
    <t>Valkyrie AMR Pro</t>
  </si>
  <si>
    <t>R 989</t>
  </si>
  <si>
    <t>Vantage</t>
  </si>
  <si>
    <t>Vulcan</t>
  </si>
  <si>
    <t>S2 884</t>
  </si>
  <si>
    <t>Autoshow, Wheelspin, Loyalty</t>
  </si>
  <si>
    <t>Vulcan AMR Pro</t>
  </si>
  <si>
    <t>S2 898</t>
  </si>
  <si>
    <t>1986</t>
  </si>
  <si>
    <t>Audi</t>
  </si>
  <si>
    <t>#2 Audi Sport Quattro S1</t>
  </si>
  <si>
    <t>Rally Monsters</t>
  </si>
  <si>
    <t>S1 726</t>
  </si>
  <si>
    <t>R8 Coupé V10 GT RWD</t>
  </si>
  <si>
    <t>S1 769</t>
  </si>
  <si>
    <t>R8 Coupé V10 Plus 5.2 FSI Quattro</t>
  </si>
  <si>
    <t>A 694</t>
  </si>
  <si>
    <t>2009</t>
  </si>
  <si>
    <t>R8 LMS</t>
  </si>
  <si>
    <t>S2 810</t>
  </si>
  <si>
    <t>2020</t>
  </si>
  <si>
    <t>R8 V10 Performance</t>
  </si>
  <si>
    <t>S1 738</t>
  </si>
  <si>
    <t>R8 V10 Plus</t>
  </si>
  <si>
    <t>S1 731</t>
  </si>
  <si>
    <t>RS 3 Sedan</t>
  </si>
  <si>
    <t>A 617</t>
  </si>
  <si>
    <t>2011</t>
  </si>
  <si>
    <t>RS 3 Sportback</t>
  </si>
  <si>
    <t>Super Hot Hatch</t>
  </si>
  <si>
    <t>B 565</t>
  </si>
  <si>
    <t>2006</t>
  </si>
  <si>
    <t>RS 4</t>
  </si>
  <si>
    <t>RS 4 Avant</t>
  </si>
  <si>
    <t>B 544</t>
  </si>
  <si>
    <t>A 607</t>
  </si>
  <si>
    <t>2018</t>
  </si>
  <si>
    <t>A 637</t>
  </si>
  <si>
    <t>RS 5 Coupé</t>
  </si>
  <si>
    <t>A 613</t>
  </si>
  <si>
    <t>RS 6</t>
  </si>
  <si>
    <t>B 556</t>
  </si>
  <si>
    <t>B 598</t>
  </si>
  <si>
    <t>RS 6 Avant</t>
  </si>
  <si>
    <t>A 640</t>
  </si>
  <si>
    <t>A 650</t>
  </si>
  <si>
    <t>RS 7 Sportback</t>
  </si>
  <si>
    <t>A 619</t>
  </si>
  <si>
    <t>A 655</t>
  </si>
  <si>
    <t>RS e-tron GT</t>
  </si>
  <si>
    <t>A 677</t>
  </si>
  <si>
    <t>Electric</t>
  </si>
  <si>
    <t>B 527</t>
  </si>
  <si>
    <t>1984</t>
  </si>
  <si>
    <t>Sport Quattro</t>
  </si>
  <si>
    <t>Retro Rally</t>
  </si>
  <si>
    <t>B 526</t>
  </si>
  <si>
    <t>2010</t>
  </si>
  <si>
    <t>TT RS Coupé</t>
  </si>
  <si>
    <t>Austin-Healey</t>
  </si>
  <si>
    <t>3000 Mk III</t>
  </si>
  <si>
    <t>Classic Sports Cars</t>
  </si>
  <si>
    <t>D 352</t>
  </si>
  <si>
    <t>1993</t>
  </si>
  <si>
    <t>Autozam</t>
  </si>
  <si>
    <t>AZ-1</t>
  </si>
  <si>
    <t>Eclectic Domestics</t>
  </si>
  <si>
    <t>D 342</t>
  </si>
  <si>
    <t>Japan</t>
  </si>
  <si>
    <t>BAC</t>
  </si>
  <si>
    <t>Mono</t>
  </si>
  <si>
    <t>Track Toys</t>
  </si>
  <si>
    <t>S1 766</t>
  </si>
  <si>
    <t>Bentley</t>
  </si>
  <si>
    <t>Bentayga</t>
  </si>
  <si>
    <t>A 612</t>
  </si>
  <si>
    <t>Continental GT Convertible</t>
  </si>
  <si>
    <t>A 649</t>
  </si>
  <si>
    <t>1973</t>
  </si>
  <si>
    <t>BMW</t>
  </si>
  <si>
    <t>2002 Turbo</t>
  </si>
  <si>
    <t>C 424</t>
  </si>
  <si>
    <t>1995</t>
  </si>
  <si>
    <t>850CSi</t>
  </si>
  <si>
    <t>C 493</t>
  </si>
  <si>
    <t>i8</t>
  </si>
  <si>
    <t>A 665</t>
  </si>
  <si>
    <t>1957</t>
  </si>
  <si>
    <t>Isetta 300 Export</t>
  </si>
  <si>
    <t>iX xDrive50</t>
  </si>
  <si>
    <t>B 595</t>
  </si>
  <si>
    <t>1981</t>
  </si>
  <si>
    <t>M1</t>
  </si>
  <si>
    <t>Retro Supercars</t>
  </si>
  <si>
    <t>B 510</t>
  </si>
  <si>
    <t>Treasure Car</t>
  </si>
  <si>
    <t>Collection Journal</t>
  </si>
  <si>
    <t>M2</t>
  </si>
  <si>
    <t>A 647</t>
  </si>
  <si>
    <t>M2 Competition Coupé</t>
  </si>
  <si>
    <t>A 656</t>
  </si>
  <si>
    <t>M2 Forza Edition</t>
  </si>
  <si>
    <t>A 700</t>
  </si>
  <si>
    <t>1988</t>
  </si>
  <si>
    <t>M3</t>
  </si>
  <si>
    <t>C 474</t>
  </si>
  <si>
    <t>1997</t>
  </si>
  <si>
    <t>B 549</t>
  </si>
  <si>
    <t>2005</t>
  </si>
  <si>
    <t>B 554</t>
  </si>
  <si>
    <t>2008</t>
  </si>
  <si>
    <t>A 608</t>
  </si>
  <si>
    <t>M3 GTS</t>
  </si>
  <si>
    <t>A 678</t>
  </si>
  <si>
    <t>M4 Competition Coupé</t>
  </si>
  <si>
    <t>A 666</t>
  </si>
  <si>
    <t>M4 Competition Coupé Welcome Pack</t>
  </si>
  <si>
    <t>S1 800</t>
  </si>
  <si>
    <t>Welcome Pack</t>
  </si>
  <si>
    <t>M4 Coupé</t>
  </si>
  <si>
    <t>M4 GTS</t>
  </si>
  <si>
    <t>M5</t>
  </si>
  <si>
    <t>C 470</t>
  </si>
  <si>
    <t>B 516</t>
  </si>
  <si>
    <t>B 580</t>
  </si>
  <si>
    <t>2012</t>
  </si>
  <si>
    <t>A 652</t>
  </si>
  <si>
    <t>M5 CS</t>
  </si>
  <si>
    <t>M8 Competition Coupé</t>
  </si>
  <si>
    <t>A 684</t>
  </si>
  <si>
    <t>X5 M</t>
  </si>
  <si>
    <t>B 546</t>
  </si>
  <si>
    <t>2024</t>
  </si>
  <si>
    <t>X6 M Competition</t>
  </si>
  <si>
    <t>A 672</t>
  </si>
  <si>
    <t>Z4 M Coupé</t>
  </si>
  <si>
    <t>B 579</t>
  </si>
  <si>
    <t>Z4 Roadster</t>
  </si>
  <si>
    <t>A 634</t>
  </si>
  <si>
    <t>1987</t>
  </si>
  <si>
    <t>Buick</t>
  </si>
  <si>
    <t>Regal GNX</t>
  </si>
  <si>
    <t>Retro Muscle</t>
  </si>
  <si>
    <t>C 454</t>
  </si>
  <si>
    <t>Cadillac</t>
  </si>
  <si>
    <t>ATS-V</t>
  </si>
  <si>
    <t>Modern Muscle</t>
  </si>
  <si>
    <t>CT4-V Blackwing</t>
  </si>
  <si>
    <t>CT5-V Blackwing</t>
  </si>
  <si>
    <t>S1 701</t>
  </si>
  <si>
    <t>CTS-V Sedan</t>
  </si>
  <si>
    <t>A 648</t>
  </si>
  <si>
    <t>XTS Limousine</t>
  </si>
  <si>
    <t>D 381</t>
  </si>
  <si>
    <t>Can-Am</t>
  </si>
  <si>
    <t>Maverick X RS Turbo R</t>
  </si>
  <si>
    <t>UTVs</t>
  </si>
  <si>
    <t>B 568</t>
  </si>
  <si>
    <t>Canada</t>
  </si>
  <si>
    <t>Casey Currie Motorsports</t>
  </si>
  <si>
    <t>#4402 Ultra 4 'Trophy Jeep'</t>
  </si>
  <si>
    <t>A 641</t>
  </si>
  <si>
    <t>1955</t>
  </si>
  <si>
    <t>Chevrolet</t>
  </si>
  <si>
    <t>150 Utility Sedan</t>
  </si>
  <si>
    <t>Rods &amp; Customs</t>
  </si>
  <si>
    <t>D 221</t>
  </si>
  <si>
    <t>Bel Air</t>
  </si>
  <si>
    <t>D 320</t>
  </si>
  <si>
    <t>1969</t>
  </si>
  <si>
    <t>Camaro Super Sport Coupe</t>
  </si>
  <si>
    <t>Classic Muscle</t>
  </si>
  <si>
    <t>Camaro Z/28</t>
  </si>
  <si>
    <t>A 695</t>
  </si>
  <si>
    <t>1970</t>
  </si>
  <si>
    <t>Camaro Z28</t>
  </si>
  <si>
    <t>C 430</t>
  </si>
  <si>
    <t>1979</t>
  </si>
  <si>
    <t>D 364</t>
  </si>
  <si>
    <t>Camaro ZL1</t>
  </si>
  <si>
    <t>S1 727</t>
  </si>
  <si>
    <t>S1 718</t>
  </si>
  <si>
    <t>Camaro ZL1 1LE</t>
  </si>
  <si>
    <t>S1 728</t>
  </si>
  <si>
    <t>Chevelle Super Sport 454</t>
  </si>
  <si>
    <t>1953</t>
  </si>
  <si>
    <t>Corvette</t>
  </si>
  <si>
    <t>D 270</t>
  </si>
  <si>
    <t>1960</t>
  </si>
  <si>
    <t>C 428</t>
  </si>
  <si>
    <t>Corvette E-Ray</t>
  </si>
  <si>
    <t>S1 737</t>
  </si>
  <si>
    <t>1967</t>
  </si>
  <si>
    <t>Corvette Stingray 427</t>
  </si>
  <si>
    <t>Corvette Stingray Coupe</t>
  </si>
  <si>
    <t>Corvette Z06</t>
  </si>
  <si>
    <t>A 602</t>
  </si>
  <si>
    <t>S1 755</t>
  </si>
  <si>
    <t>S1 763</t>
  </si>
  <si>
    <t>Corvette ZR-1</t>
  </si>
  <si>
    <t>C 497</t>
  </si>
  <si>
    <t>B 576</t>
  </si>
  <si>
    <t>Corvette ZR1</t>
  </si>
  <si>
    <t>S1 712</t>
  </si>
  <si>
    <t>S1 778</t>
  </si>
  <si>
    <t>El Camino Super Sport 454</t>
  </si>
  <si>
    <t>Utility Heroes</t>
  </si>
  <si>
    <t>1996</t>
  </si>
  <si>
    <t>Impala Super Sport</t>
  </si>
  <si>
    <t>C 407</t>
  </si>
  <si>
    <t>Impala Super Sport 409</t>
  </si>
  <si>
    <t>C 427</t>
  </si>
  <si>
    <t>1972</t>
  </si>
  <si>
    <t>K-10 Custom</t>
  </si>
  <si>
    <t>Pickups &amp; 4x4s</t>
  </si>
  <si>
    <t>D 268</t>
  </si>
  <si>
    <t>Monte Carlo Super Sport</t>
  </si>
  <si>
    <t>D 282</t>
  </si>
  <si>
    <t>Nova Super Sport 396</t>
  </si>
  <si>
    <t>C 431</t>
  </si>
  <si>
    <t>Silverado LT Trail Boss</t>
  </si>
  <si>
    <t>C 449</t>
  </si>
  <si>
    <t>Datsun</t>
  </si>
  <si>
    <t>#269 Attacking the Clock Racing 240Z 'All Carbon Hill Climb Beast'</t>
  </si>
  <si>
    <t>R 951</t>
  </si>
  <si>
    <t>2000 Roadster</t>
  </si>
  <si>
    <t>D 323</t>
  </si>
  <si>
    <t>510</t>
  </si>
  <si>
    <t>D 143</t>
  </si>
  <si>
    <t>De Tomaso</t>
  </si>
  <si>
    <t>Pantera GT5</t>
  </si>
  <si>
    <t>B 562</t>
  </si>
  <si>
    <t>DeBerti</t>
  </si>
  <si>
    <t>Chevrolet Silverado 1500 Drift Truck</t>
  </si>
  <si>
    <t>Drift Cars</t>
  </si>
  <si>
    <t>S1 707</t>
  </si>
  <si>
    <t>Ford Super Duty F-250 Lariat 'Transformer'</t>
  </si>
  <si>
    <t>B 548</t>
  </si>
  <si>
    <t>Jeep Wrangler Unlimited</t>
  </si>
  <si>
    <t>A 645</t>
  </si>
  <si>
    <t>Toyota Tacoma TRD ‘The Performance Truck’</t>
  </si>
  <si>
    <t>S1 717</t>
  </si>
  <si>
    <t>1982</t>
  </si>
  <si>
    <t>DeLorean</t>
  </si>
  <si>
    <t>DMC-12</t>
  </si>
  <si>
    <t>D 357</t>
  </si>
  <si>
    <t>Dodge</t>
  </si>
  <si>
    <t>Challenger R/T</t>
  </si>
  <si>
    <t>C 443</t>
  </si>
  <si>
    <t>Challenger SRT Demon</t>
  </si>
  <si>
    <t>Challenger SRT Hellcat</t>
  </si>
  <si>
    <t>A 631</t>
  </si>
  <si>
    <t>Challenger SRT Super Stock</t>
  </si>
  <si>
    <t>Charger Daytona HEMI</t>
  </si>
  <si>
    <t>C 479</t>
  </si>
  <si>
    <t>Charger R/T</t>
  </si>
  <si>
    <t>C 417</t>
  </si>
  <si>
    <t>Charger SRT Hellcat</t>
  </si>
  <si>
    <t>Coronet Super Bee</t>
  </si>
  <si>
    <t>C 455</t>
  </si>
  <si>
    <t>Dart HEMI Super Stock</t>
  </si>
  <si>
    <t>Durango SRT Hellcat</t>
  </si>
  <si>
    <t>A 628</t>
  </si>
  <si>
    <t>Ram SRT-10</t>
  </si>
  <si>
    <t>B 547</t>
  </si>
  <si>
    <t>Viper ACR</t>
  </si>
  <si>
    <t>S1 786</t>
  </si>
  <si>
    <t>1999</t>
  </si>
  <si>
    <t>Viper GTS ACR</t>
  </si>
  <si>
    <t>Viper GTS ACR Forza Edition</t>
  </si>
  <si>
    <t>Forza Edition</t>
  </si>
  <si>
    <t>VIP</t>
  </si>
  <si>
    <t>Viper SRT-10 ACR</t>
  </si>
  <si>
    <t>S1 735</t>
  </si>
  <si>
    <t>Exomotive</t>
  </si>
  <si>
    <t>Exocet Sport V8 XP-5</t>
  </si>
  <si>
    <t>S2 841</t>
  </si>
  <si>
    <t>Ferrari</t>
  </si>
  <si>
    <t>#24 Ferrari Spa 330 P4</t>
  </si>
  <si>
    <t>1962</t>
  </si>
  <si>
    <t>250 GT Berlinetta Lusso</t>
  </si>
  <si>
    <t>C 475</t>
  </si>
  <si>
    <t>250 GTO</t>
  </si>
  <si>
    <t>C 494</t>
  </si>
  <si>
    <t>275 GTB4 Spider</t>
  </si>
  <si>
    <t>288 GTO</t>
  </si>
  <si>
    <t>A 643</t>
  </si>
  <si>
    <t>296 GTB</t>
  </si>
  <si>
    <t>S2 811</t>
  </si>
  <si>
    <t>430 Scuderia</t>
  </si>
  <si>
    <t>S1 702</t>
  </si>
  <si>
    <t>458 Italia</t>
  </si>
  <si>
    <t>S1 721</t>
  </si>
  <si>
    <t>458 Speciale</t>
  </si>
  <si>
    <t>S1 768</t>
  </si>
  <si>
    <t>488 GTB</t>
  </si>
  <si>
    <t>S1 770</t>
  </si>
  <si>
    <t>488 Pista</t>
  </si>
  <si>
    <t>S2 803</t>
  </si>
  <si>
    <t>512 S</t>
  </si>
  <si>
    <t>S1 774</t>
  </si>
  <si>
    <t>512 TR</t>
  </si>
  <si>
    <t>A 615</t>
  </si>
  <si>
    <t>599XX</t>
  </si>
  <si>
    <t>S2 840</t>
  </si>
  <si>
    <t>599XX Evolution</t>
  </si>
  <si>
    <t>S2 894</t>
  </si>
  <si>
    <t>812 Superfast</t>
  </si>
  <si>
    <t>S1 780</t>
  </si>
  <si>
    <t>Dino 246 GT</t>
  </si>
  <si>
    <t>Enzo Ferrari</t>
  </si>
  <si>
    <t>F12tdf</t>
  </si>
  <si>
    <t>S1 788</t>
  </si>
  <si>
    <t>1994</t>
  </si>
  <si>
    <t>F355 Berlinetta</t>
  </si>
  <si>
    <t>B 588</t>
  </si>
  <si>
    <t>F40</t>
  </si>
  <si>
    <t>1989</t>
  </si>
  <si>
    <t>F40 Competizione</t>
  </si>
  <si>
    <t>R 948</t>
  </si>
  <si>
    <t>F50</t>
  </si>
  <si>
    <t>F50 GT</t>
  </si>
  <si>
    <t>R 949</t>
  </si>
  <si>
    <t>F8 Tributo</t>
  </si>
  <si>
    <t>S2 802</t>
  </si>
  <si>
    <t>2025</t>
  </si>
  <si>
    <t>F80</t>
  </si>
  <si>
    <t>FXX</t>
  </si>
  <si>
    <t>S2 900</t>
  </si>
  <si>
    <t>FXX K</t>
  </si>
  <si>
    <t>R 936</t>
  </si>
  <si>
    <t>FXX-K Evo</t>
  </si>
  <si>
    <t>R 957</t>
  </si>
  <si>
    <t>FXX-K Evo Welcome Pack</t>
  </si>
  <si>
    <t>R 998</t>
  </si>
  <si>
    <t>J50</t>
  </si>
  <si>
    <t>S1 772</t>
  </si>
  <si>
    <t>J50 Preorder Car</t>
  </si>
  <si>
    <t>Preorder Bonus</t>
  </si>
  <si>
    <t>LaFerrari</t>
  </si>
  <si>
    <t>S2 857</t>
  </si>
  <si>
    <t>Monza SP2</t>
  </si>
  <si>
    <t>S1 773</t>
  </si>
  <si>
    <t>Portofino</t>
  </si>
  <si>
    <t>S1 714</t>
  </si>
  <si>
    <t>Roma</t>
  </si>
  <si>
    <t>SF90 Stradale</t>
  </si>
  <si>
    <t>S2 851</t>
  </si>
  <si>
    <t>Ford</t>
  </si>
  <si>
    <t>#11 Rockstar F-150 Trophy Truck</t>
  </si>
  <si>
    <t>#14 Rahal Letterman Lanigan Racing Fiesta</t>
  </si>
  <si>
    <t>1966</t>
  </si>
  <si>
    <t>#2 GT40 Mk II</t>
  </si>
  <si>
    <t>#2069 Ford Performance Bronco R</t>
  </si>
  <si>
    <t>Offroad</t>
  </si>
  <si>
    <t>C 441</t>
  </si>
  <si>
    <t>#25 'Brocky' Ultra4 Bronco RTR</t>
  </si>
  <si>
    <t>#4 Ford Focus RS</t>
  </si>
  <si>
    <t>A 639</t>
  </si>
  <si>
    <t>1977</t>
  </si>
  <si>
    <t>#5 Escort RS1800 Mk II</t>
  </si>
  <si>
    <t>Bronco Raptor</t>
  </si>
  <si>
    <t>C 473</t>
  </si>
  <si>
    <t>Capri RS3100</t>
  </si>
  <si>
    <t>D 394</t>
  </si>
  <si>
    <t>Crown Victoria Police Interceptor</t>
  </si>
  <si>
    <t>D 354</t>
  </si>
  <si>
    <t>1932</t>
  </si>
  <si>
    <t>De Luxe Five-Window Coupe</t>
  </si>
  <si>
    <t>Escort RS Cosworth</t>
  </si>
  <si>
    <t>C 456</t>
  </si>
  <si>
    <t>F-150 Lightning</t>
  </si>
  <si>
    <t>C 500</t>
  </si>
  <si>
    <t>F-150 Raptor R</t>
  </si>
  <si>
    <t>B 536</t>
  </si>
  <si>
    <t>F-150 Raptor R Welcome Pack</t>
  </si>
  <si>
    <t>B 600</t>
  </si>
  <si>
    <t>F-150 SVT Lightning</t>
  </si>
  <si>
    <t>F-150 XLT Lariat</t>
  </si>
  <si>
    <t>D 263</t>
  </si>
  <si>
    <t>F-150 XLT Lariat Forza Edition</t>
  </si>
  <si>
    <t>S2 850</t>
  </si>
  <si>
    <t>Fiesta ST</t>
  </si>
  <si>
    <t>Focus RS</t>
  </si>
  <si>
    <t>B 551</t>
  </si>
  <si>
    <t>Focus ST</t>
  </si>
  <si>
    <t>B 594</t>
  </si>
  <si>
    <t>FPV Limited Edition Pursuit Ute</t>
  </si>
  <si>
    <t>B 563</t>
  </si>
  <si>
    <t>GT</t>
  </si>
  <si>
    <t>A 676</t>
  </si>
  <si>
    <t>S1 757</t>
  </si>
  <si>
    <t>M-Sport Fiesta RS</t>
  </si>
  <si>
    <t>Mustang Boss 302</t>
  </si>
  <si>
    <t>C 468</t>
  </si>
  <si>
    <t>Mustang Dark Horse</t>
  </si>
  <si>
    <t>A 669</t>
  </si>
  <si>
    <t>Mustang GT</t>
  </si>
  <si>
    <t>Mustang GT 2+2 Fastback</t>
  </si>
  <si>
    <t>Mustang GT 2+2 Fastback Forza Edition</t>
  </si>
  <si>
    <t>Mustang GT Coupe</t>
  </si>
  <si>
    <t>D 388</t>
  </si>
  <si>
    <t>Mustang RTR Spec 5</t>
  </si>
  <si>
    <t>Mustang Shelby GT350R</t>
  </si>
  <si>
    <t>Mustang Shelby GT500</t>
  </si>
  <si>
    <t>Mustang SVT Cobra R</t>
  </si>
  <si>
    <t>C 432</t>
  </si>
  <si>
    <t>2000</t>
  </si>
  <si>
    <t>B 528</t>
  </si>
  <si>
    <t>Racing Puma</t>
  </si>
  <si>
    <t>C 401</t>
  </si>
  <si>
    <t>Ranger T6 Rally Raid</t>
  </si>
  <si>
    <t>B 530</t>
  </si>
  <si>
    <t>1985</t>
  </si>
  <si>
    <t>RS200 Evolution</t>
  </si>
  <si>
    <t>S1 710</t>
  </si>
  <si>
    <t>Sierra Cosworth RS500</t>
  </si>
  <si>
    <t>Super Duty F-450 DRW Platinum</t>
  </si>
  <si>
    <t>Super Duty F-450 DRW Platinum Forza Edition</t>
  </si>
  <si>
    <t>Supervan 3</t>
  </si>
  <si>
    <t>S1 740</t>
  </si>
  <si>
    <t>Supervan 4</t>
  </si>
  <si>
    <t>R 919</t>
  </si>
  <si>
    <t>Thunderbird</t>
  </si>
  <si>
    <t>D 332</t>
  </si>
  <si>
    <t>Transit SuperSportVan</t>
  </si>
  <si>
    <t>D 235</t>
  </si>
  <si>
    <t>XB Falcon GT</t>
  </si>
  <si>
    <t>C 422</t>
  </si>
  <si>
    <t>Formula Drift</t>
  </si>
  <si>
    <t>#117 599 GTB Fiorano</t>
  </si>
  <si>
    <t>S1 767</t>
  </si>
  <si>
    <t>#13 Ford Mustang</t>
  </si>
  <si>
    <t>S1 739</t>
  </si>
  <si>
    <t>#151 Toyota GR Supra</t>
  </si>
  <si>
    <t>S1 779</t>
  </si>
  <si>
    <t>#34 Toyota Supra Mk IV</t>
  </si>
  <si>
    <t>S1 759</t>
  </si>
  <si>
    <t>#411 Toyota Corolla Hatchback</t>
  </si>
  <si>
    <t>S1 754</t>
  </si>
  <si>
    <t>#43 Dodge Viper SRT-10 ACR</t>
  </si>
  <si>
    <t>S1 748</t>
  </si>
  <si>
    <t>#530 HSV Maloo GEN-F</t>
  </si>
  <si>
    <t>#64 Forsberg Racing Nissan Z</t>
  </si>
  <si>
    <t>S1 783</t>
  </si>
  <si>
    <t>#777 Chevrolet Corvette</t>
  </si>
  <si>
    <t>S1 760</t>
  </si>
  <si>
    <t>#777 Nissan 240SX</t>
  </si>
  <si>
    <t>#91 BMW M2</t>
  </si>
  <si>
    <t>#98 BMW 325i</t>
  </si>
  <si>
    <t>#99 Mazda RX-8</t>
  </si>
  <si>
    <t>Funco Motorsports</t>
  </si>
  <si>
    <t>F9</t>
  </si>
  <si>
    <t>S1 752</t>
  </si>
  <si>
    <t>GMC</t>
  </si>
  <si>
    <t>HUMMER EV Pickup</t>
  </si>
  <si>
    <t>A 610</t>
  </si>
  <si>
    <t>Jimmy</t>
  </si>
  <si>
    <t>1991</t>
  </si>
  <si>
    <t>Syclone</t>
  </si>
  <si>
    <t>C 446</t>
  </si>
  <si>
    <t>Typhoon</t>
  </si>
  <si>
    <t>C 435</t>
  </si>
  <si>
    <t>Gordon Murray Automotive</t>
  </si>
  <si>
    <t>T.50</t>
  </si>
  <si>
    <t>S2 871</t>
  </si>
  <si>
    <t>GR</t>
  </si>
  <si>
    <t>GT Prototype</t>
  </si>
  <si>
    <t>S1 771</t>
  </si>
  <si>
    <t>Hennessey</t>
  </si>
  <si>
    <t>Ford F-150 VelociRaptor 6x6</t>
  </si>
  <si>
    <t>B 520</t>
  </si>
  <si>
    <t>Venom F5</t>
  </si>
  <si>
    <t>S2 870</t>
  </si>
  <si>
    <t>Venom GT</t>
  </si>
  <si>
    <t>S2 845</t>
  </si>
  <si>
    <t>Holden</t>
  </si>
  <si>
    <t>Torana A9X</t>
  </si>
  <si>
    <t>C 413</t>
  </si>
  <si>
    <t>Australia</t>
  </si>
  <si>
    <t>Honda</t>
  </si>
  <si>
    <t>#19 101 Motorsport CRX WTAC</t>
  </si>
  <si>
    <t>S2 877</t>
  </si>
  <si>
    <t>Time Attack Car Pack</t>
  </si>
  <si>
    <t>#21 Hardrace/JDMYard Civic WTAC</t>
  </si>
  <si>
    <t>R 913</t>
  </si>
  <si>
    <t>#33 Integra WTAC</t>
  </si>
  <si>
    <t>S2 860</t>
  </si>
  <si>
    <t>2004</t>
  </si>
  <si>
    <t>#52 Evasive Motorsports S2000 WTAC</t>
  </si>
  <si>
    <t>S2 888</t>
  </si>
  <si>
    <t>Acty</t>
  </si>
  <si>
    <t>Beat</t>
  </si>
  <si>
    <t>D 283</t>
  </si>
  <si>
    <t>City E II</t>
  </si>
  <si>
    <t>D 203</t>
  </si>
  <si>
    <t>Civic CRX Mugen</t>
  </si>
  <si>
    <t>D 390</t>
  </si>
  <si>
    <t>1974</t>
  </si>
  <si>
    <t>Civic RS</t>
  </si>
  <si>
    <t>D 254</t>
  </si>
  <si>
    <t>Civic Si</t>
  </si>
  <si>
    <t>D 253</t>
  </si>
  <si>
    <t>Civic Type R</t>
  </si>
  <si>
    <t>C 480</t>
  </si>
  <si>
    <t>B 514</t>
  </si>
  <si>
    <t>B 585</t>
  </si>
  <si>
    <t>A 620</t>
  </si>
  <si>
    <t>CR-X SiR</t>
  </si>
  <si>
    <t>C 465</t>
  </si>
  <si>
    <t>e</t>
  </si>
  <si>
    <t>D 398</t>
  </si>
  <si>
    <t>N600</t>
  </si>
  <si>
    <t>Electic Domestics</t>
  </si>
  <si>
    <t>NSX-R</t>
  </si>
  <si>
    <t>B 572</t>
  </si>
  <si>
    <t>B 570</t>
  </si>
  <si>
    <t>NSX-R GT</t>
  </si>
  <si>
    <t>Barn Find</t>
  </si>
  <si>
    <t>Prelude Si</t>
  </si>
  <si>
    <t>C 410</t>
  </si>
  <si>
    <t>Ridgeline Baja Trophy Truck</t>
  </si>
  <si>
    <t>S2000</t>
  </si>
  <si>
    <t>B 503</t>
  </si>
  <si>
    <t>S800</t>
  </si>
  <si>
    <t>D 134</t>
  </si>
  <si>
    <t>Z GT</t>
  </si>
  <si>
    <t>HSV</t>
  </si>
  <si>
    <t>GEN-F GTS</t>
  </si>
  <si>
    <t>Limited Edition GEN-F GTS Maloo</t>
  </si>
  <si>
    <t>A 629</t>
  </si>
  <si>
    <t>Hyundai</t>
  </si>
  <si>
    <t>i20 N</t>
  </si>
  <si>
    <t>B 564</t>
  </si>
  <si>
    <t>Korea</t>
  </si>
  <si>
    <t>i30 N</t>
  </si>
  <si>
    <t>B 553</t>
  </si>
  <si>
    <t>IONIQ 5 N</t>
  </si>
  <si>
    <t>A 657</t>
  </si>
  <si>
    <t>N Vision 74</t>
  </si>
  <si>
    <t>A 692</t>
  </si>
  <si>
    <t>Veloster N</t>
  </si>
  <si>
    <t>Jaguar</t>
  </si>
  <si>
    <t>C-X75</t>
  </si>
  <si>
    <t>1956</t>
  </si>
  <si>
    <t>D-Type</t>
  </si>
  <si>
    <t>B 506</t>
  </si>
  <si>
    <t>1961</t>
  </si>
  <si>
    <t>E-type</t>
  </si>
  <si>
    <t>C 414</t>
  </si>
  <si>
    <t>Lightweight E-Type</t>
  </si>
  <si>
    <t>Sport XJR-15</t>
  </si>
  <si>
    <t>S1 716</t>
  </si>
  <si>
    <t>XJ220</t>
  </si>
  <si>
    <t>XJ220S TWR</t>
  </si>
  <si>
    <t>S1 750</t>
  </si>
  <si>
    <t>Jeep</t>
  </si>
  <si>
    <t>Grand Cherokee Trackhawk</t>
  </si>
  <si>
    <t>JT (Gladiator)</t>
  </si>
  <si>
    <t>D 336</t>
  </si>
  <si>
    <t>Trailcat</t>
  </si>
  <si>
    <t>Wrangler Rubicon</t>
  </si>
  <si>
    <t>D 350</t>
  </si>
  <si>
    <t>Jimco</t>
  </si>
  <si>
    <t>#179 Hammerhead Class 1</t>
  </si>
  <si>
    <t>#240 Fastball Racing Class 6100 Spec Trophy Truck</t>
  </si>
  <si>
    <t>B 511</t>
  </si>
  <si>
    <t>Koenigsegg</t>
  </si>
  <si>
    <t>Agera</t>
  </si>
  <si>
    <t>Sweden</t>
  </si>
  <si>
    <t>Agera RS</t>
  </si>
  <si>
    <t>S2 890</t>
  </si>
  <si>
    <t>CCGT</t>
  </si>
  <si>
    <t>Gemera</t>
  </si>
  <si>
    <t>Jesko</t>
  </si>
  <si>
    <t>S2 899</t>
  </si>
  <si>
    <t>One:1</t>
  </si>
  <si>
    <t>Regera</t>
  </si>
  <si>
    <t>S2 886</t>
  </si>
  <si>
    <t>KTM</t>
  </si>
  <si>
    <t>X-Bow GT4</t>
  </si>
  <si>
    <t>S1 749</t>
  </si>
  <si>
    <t>Austria</t>
  </si>
  <si>
    <t>Lamborghini</t>
  </si>
  <si>
    <t>Aventador LP 780-4 Ultimae</t>
  </si>
  <si>
    <t>S1 794</t>
  </si>
  <si>
    <t>Aventador LP700-4</t>
  </si>
  <si>
    <t>S1 753</t>
  </si>
  <si>
    <t>Aventador SVJ</t>
  </si>
  <si>
    <t>Centenario LP 770-4</t>
  </si>
  <si>
    <t>S1 792</t>
  </si>
  <si>
    <t>Countach LP5000 QV</t>
  </si>
  <si>
    <t>A 622</t>
  </si>
  <si>
    <t>Countach LPI 800-4</t>
  </si>
  <si>
    <t>Diablo GTR</t>
  </si>
  <si>
    <t>S2 823</t>
  </si>
  <si>
    <t>Diablo SV</t>
  </si>
  <si>
    <t>Essenza SCV12</t>
  </si>
  <si>
    <t>R 911</t>
  </si>
  <si>
    <t>Gallardo LP570-4 Spider Performante</t>
  </si>
  <si>
    <t>A 685</t>
  </si>
  <si>
    <t>Huracán EVO</t>
  </si>
  <si>
    <t>S1 761</t>
  </si>
  <si>
    <t>Huracán EVO Spider</t>
  </si>
  <si>
    <t>Huracán LP 610-4</t>
  </si>
  <si>
    <t>Huracán Sterrato</t>
  </si>
  <si>
    <t>Huracán STO</t>
  </si>
  <si>
    <t>Huracán Tecnica</t>
  </si>
  <si>
    <t>S1 747</t>
  </si>
  <si>
    <t>Miura P400</t>
  </si>
  <si>
    <t>B 505</t>
  </si>
  <si>
    <t>Murciélago LP 670-4 SV</t>
  </si>
  <si>
    <t>Revuelto</t>
  </si>
  <si>
    <t>S2 829</t>
  </si>
  <si>
    <t>Sesto Elemento</t>
  </si>
  <si>
    <t>Sián Roadster</t>
  </si>
  <si>
    <t>S1 797</t>
  </si>
  <si>
    <t>Temerario</t>
  </si>
  <si>
    <t>S2 801</t>
  </si>
  <si>
    <t>Urus</t>
  </si>
  <si>
    <t>A 659</t>
  </si>
  <si>
    <t>Veneno</t>
  </si>
  <si>
    <t>S2 834</t>
  </si>
  <si>
    <t>Lancia</t>
  </si>
  <si>
    <t>037 Stradale</t>
  </si>
  <si>
    <t>B 555</t>
  </si>
  <si>
    <t>Delta HF Integrale EVO</t>
  </si>
  <si>
    <t>C 489</t>
  </si>
  <si>
    <t>Delta S4</t>
  </si>
  <si>
    <t>Stratos HF Stradale</t>
  </si>
  <si>
    <t>C 483</t>
  </si>
  <si>
    <t>Land Rover</t>
  </si>
  <si>
    <t>Defender 110 X</t>
  </si>
  <si>
    <t>Range Rover Sport SVR</t>
  </si>
  <si>
    <t>A 604</t>
  </si>
  <si>
    <t>Lexus</t>
  </si>
  <si>
    <t>LC 500</t>
  </si>
  <si>
    <t>B 592</t>
  </si>
  <si>
    <t>LFA</t>
  </si>
  <si>
    <t>A 699</t>
  </si>
  <si>
    <t>LFA Forza Edition</t>
  </si>
  <si>
    <t>RC F</t>
  </si>
  <si>
    <t>A 623</t>
  </si>
  <si>
    <t>Lincoln</t>
  </si>
  <si>
    <t>Continental</t>
  </si>
  <si>
    <t>D 267</t>
  </si>
  <si>
    <t>Lotus</t>
  </si>
  <si>
    <t>Elise GT1</t>
  </si>
  <si>
    <t>S1 709</t>
  </si>
  <si>
    <t>Elise Series 1 Sport 190</t>
  </si>
  <si>
    <t>B 589</t>
  </si>
  <si>
    <t>Emira</t>
  </si>
  <si>
    <t>Evija</t>
  </si>
  <si>
    <t>R 937</t>
  </si>
  <si>
    <t>Evija Forza Edition</t>
  </si>
  <si>
    <t>Exige Cup 430</t>
  </si>
  <si>
    <t>S1 732</t>
  </si>
  <si>
    <t>Scura Motorsports Exige WTAC</t>
  </si>
  <si>
    <t>Lucid</t>
  </si>
  <si>
    <t>Air Sapphire</t>
  </si>
  <si>
    <t>S2 820</t>
  </si>
  <si>
    <t>Maserati</t>
  </si>
  <si>
    <t>Ghibli Cup</t>
  </si>
  <si>
    <t>B 591</t>
  </si>
  <si>
    <t>MC12</t>
  </si>
  <si>
    <t>S1 751</t>
  </si>
  <si>
    <t>MC12 Versione Corsa</t>
  </si>
  <si>
    <t>R 912</t>
  </si>
  <si>
    <t>MC20</t>
  </si>
  <si>
    <t>Mazda</t>
  </si>
  <si>
    <t>#123 Mad Mike 808 Wagon 'FURSTY'</t>
  </si>
  <si>
    <t>#55 Mazda 787B</t>
  </si>
  <si>
    <t>R 988</t>
  </si>
  <si>
    <t>Cosmo 110S Series II</t>
  </si>
  <si>
    <t>Furai</t>
  </si>
  <si>
    <t>R 926</t>
  </si>
  <si>
    <t>Mazdaspeed 3</t>
  </si>
  <si>
    <t>Mazdaspeed MX-5</t>
  </si>
  <si>
    <t>C 469</t>
  </si>
  <si>
    <t>MX-5</t>
  </si>
  <si>
    <t>C 499</t>
  </si>
  <si>
    <t>MX-5 Cup</t>
  </si>
  <si>
    <t>B 586</t>
  </si>
  <si>
    <t>MX-5 Miata</t>
  </si>
  <si>
    <t>D 329</t>
  </si>
  <si>
    <t>MX-5 Miata Forza Edition</t>
  </si>
  <si>
    <t>Aftermarket</t>
  </si>
  <si>
    <t>MX-5 Miata RF</t>
  </si>
  <si>
    <t>B 509</t>
  </si>
  <si>
    <t>RX-3</t>
  </si>
  <si>
    <t>D 328</t>
  </si>
  <si>
    <t>RX-3 Forza Edition</t>
  </si>
  <si>
    <t>RX-7 GSL-SE</t>
  </si>
  <si>
    <t>RX-7 Type R</t>
  </si>
  <si>
    <t>RX-8 R3</t>
  </si>
  <si>
    <t>B 508</t>
  </si>
  <si>
    <t>Savanna RX-7</t>
  </si>
  <si>
    <t>C 451</t>
  </si>
  <si>
    <t>McLaren</t>
  </si>
  <si>
    <t>12C Coupé</t>
  </si>
  <si>
    <t>570S Coupé</t>
  </si>
  <si>
    <t>600LT Coupé</t>
  </si>
  <si>
    <t>620R</t>
  </si>
  <si>
    <t>650S Spider</t>
  </si>
  <si>
    <t>S1 765</t>
  </si>
  <si>
    <t>765LT Coupé</t>
  </si>
  <si>
    <t>Artura</t>
  </si>
  <si>
    <t>F1</t>
  </si>
  <si>
    <t>S1 713</t>
  </si>
  <si>
    <t>F1 GT</t>
  </si>
  <si>
    <t>P1</t>
  </si>
  <si>
    <t>S2 848</t>
  </si>
  <si>
    <t>Sabre</t>
  </si>
  <si>
    <t>S1 787</t>
  </si>
  <si>
    <t>Speedtail</t>
  </si>
  <si>
    <t>S2 835</t>
  </si>
  <si>
    <t>Mercedes-AMG</t>
  </si>
  <si>
    <t>C 63 S Coupé</t>
  </si>
  <si>
    <t>E 63 S</t>
  </si>
  <si>
    <t>A 674</t>
  </si>
  <si>
    <t>GT 4-Door Coupé</t>
  </si>
  <si>
    <t>A 664</t>
  </si>
  <si>
    <t>GT Black Series</t>
  </si>
  <si>
    <t>S1 782</t>
  </si>
  <si>
    <t>GT Black Series Welcome Pack</t>
  </si>
  <si>
    <t>GT R</t>
  </si>
  <si>
    <t>S1 764</t>
  </si>
  <si>
    <t>GT S</t>
  </si>
  <si>
    <t>A 691</t>
  </si>
  <si>
    <t>ONE</t>
  </si>
  <si>
    <t>SL 63</t>
  </si>
  <si>
    <t>A 690</t>
  </si>
  <si>
    <t>SLC 43 Final Edition</t>
  </si>
  <si>
    <t>Mercedes-Benz</t>
  </si>
  <si>
    <t>190 E 2.5-16 Evolution II</t>
  </si>
  <si>
    <t>C 460</t>
  </si>
  <si>
    <t>190 E 2.5-16 Evolution II Forza Edition</t>
  </si>
  <si>
    <t>1954</t>
  </si>
  <si>
    <t>300 SL Coupé</t>
  </si>
  <si>
    <t>300 SLR</t>
  </si>
  <si>
    <t>B 599</t>
  </si>
  <si>
    <t>A 45 AMG</t>
  </si>
  <si>
    <t>B 582</t>
  </si>
  <si>
    <t>1998</t>
  </si>
  <si>
    <t>AMG CLK GTR</t>
  </si>
  <si>
    <t>AMG Hammer Coupe</t>
  </si>
  <si>
    <t>C 63 AMG Coupé Black Series</t>
  </si>
  <si>
    <t>A 654</t>
  </si>
  <si>
    <t>G 63 AMG 6x6</t>
  </si>
  <si>
    <t>G 65 AMG</t>
  </si>
  <si>
    <t>SL 65 AMG Black Series</t>
  </si>
  <si>
    <t>Unimog U5023</t>
  </si>
  <si>
    <t>X-Class</t>
  </si>
  <si>
    <t>D 258</t>
  </si>
  <si>
    <t>1971</t>
  </si>
  <si>
    <t>Meyers</t>
  </si>
  <si>
    <t>Manx</t>
  </si>
  <si>
    <t>Buggies</t>
  </si>
  <si>
    <t>D 201</t>
  </si>
  <si>
    <t>Manx 2.0</t>
  </si>
  <si>
    <t>MG</t>
  </si>
  <si>
    <t>Metro 6R4</t>
  </si>
  <si>
    <t>A 627</t>
  </si>
  <si>
    <t>MINI</t>
  </si>
  <si>
    <t>Cooper S</t>
  </si>
  <si>
    <t>D 158</t>
  </si>
  <si>
    <t>John Cooper Works GP</t>
  </si>
  <si>
    <t>X-Raid All4 Racing Countryman</t>
  </si>
  <si>
    <t>B 523</t>
  </si>
  <si>
    <t>X-Raid John Cooper Works Buggy</t>
  </si>
  <si>
    <t>Mitsubishi</t>
  </si>
  <si>
    <t>#1 Sierra Sierra Enterprises Lancer Evolution Time Attack</t>
  </si>
  <si>
    <t>R 962</t>
  </si>
  <si>
    <t>#269 Attacking the Clock Racing Minicab Time Attack</t>
  </si>
  <si>
    <t>D 166</t>
  </si>
  <si>
    <t>Eclipse GSX</t>
  </si>
  <si>
    <t>C 436</t>
  </si>
  <si>
    <t>Galant VR-4</t>
  </si>
  <si>
    <t>GTO</t>
  </si>
  <si>
    <t>C 495</t>
  </si>
  <si>
    <t>Lancer Evolution III GSR</t>
  </si>
  <si>
    <t>B 518</t>
  </si>
  <si>
    <t>Lancer Evolution IX MR</t>
  </si>
  <si>
    <t>Modern Rally</t>
  </si>
  <si>
    <t>B 521</t>
  </si>
  <si>
    <t>Lancer Evolution VI GSR TM Edition</t>
  </si>
  <si>
    <t>B 574</t>
  </si>
  <si>
    <t>Lancer Evolution VIII MR</t>
  </si>
  <si>
    <t>Lancer Evolution VIII MR Welcome Pack</t>
  </si>
  <si>
    <t>Lancer Evolution X GSR</t>
  </si>
  <si>
    <t>B 534</t>
  </si>
  <si>
    <t>Montero Evolution</t>
  </si>
  <si>
    <t>D 346</t>
  </si>
  <si>
    <t>Montero Exceed 2800 TD</t>
  </si>
  <si>
    <t>D 190</t>
  </si>
  <si>
    <t>Starion ESI-R</t>
  </si>
  <si>
    <t>1983</t>
  </si>
  <si>
    <t>Nissan</t>
  </si>
  <si>
    <t>#11 Tomica Skyline Turbo Super Silhouette</t>
  </si>
  <si>
    <t>S2 847</t>
  </si>
  <si>
    <t>#12 Skyline GT-R (BNR32 Gr.A) JTC</t>
  </si>
  <si>
    <t>S2 858</t>
  </si>
  <si>
    <t>#23 Pennzoil Nismo Skyline GT-R</t>
  </si>
  <si>
    <t>#32 Skyline WTAC 'Xtreme GTR'</t>
  </si>
  <si>
    <t>R 923</t>
  </si>
  <si>
    <t>#36 Dream Project S15 Silvia WTAC</t>
  </si>
  <si>
    <t>R 996</t>
  </si>
  <si>
    <t>240SX</t>
  </si>
  <si>
    <t>D 339</t>
  </si>
  <si>
    <t>370Z</t>
  </si>
  <si>
    <t>370Z Nismo</t>
  </si>
  <si>
    <t>A 603</t>
  </si>
  <si>
    <t>Be-1</t>
  </si>
  <si>
    <t>D 175</t>
  </si>
  <si>
    <t>Fairlady Z</t>
  </si>
  <si>
    <t>Fairlady Z 432</t>
  </si>
  <si>
    <t>D 369</t>
  </si>
  <si>
    <t>Fairlady Z Version S Twin Turbo</t>
  </si>
  <si>
    <t>Figaro</t>
  </si>
  <si>
    <t>D 234</t>
  </si>
  <si>
    <t>Gloria Gran Turismo</t>
  </si>
  <si>
    <t>C 498</t>
  </si>
  <si>
    <t>GT-R</t>
  </si>
  <si>
    <t>GT-R Black Edition</t>
  </si>
  <si>
    <t>S1 703</t>
  </si>
  <si>
    <t>GT-R Black Edition Forza Edition</t>
  </si>
  <si>
    <t>GT-R Nismo</t>
  </si>
  <si>
    <t>S1 741</t>
  </si>
  <si>
    <t>Nismo GT-R LM</t>
  </si>
  <si>
    <t>B 545</t>
  </si>
  <si>
    <t>Pao</t>
  </si>
  <si>
    <t>D 145</t>
  </si>
  <si>
    <t>Patrol</t>
  </si>
  <si>
    <t>D 157</t>
  </si>
  <si>
    <t>Pulsar GTI-R</t>
  </si>
  <si>
    <t>C 486</t>
  </si>
  <si>
    <t>R390 GT1</t>
  </si>
  <si>
    <t>S-Cargo</t>
  </si>
  <si>
    <t>D 131</t>
  </si>
  <si>
    <t>S-Cargo Forza Edition</t>
  </si>
  <si>
    <t>Safari Turbo</t>
  </si>
  <si>
    <t>D 123</t>
  </si>
  <si>
    <t>Silvia K's</t>
  </si>
  <si>
    <t>Silvia K's Aero</t>
  </si>
  <si>
    <t>Silvia Spec-R</t>
  </si>
  <si>
    <t>Skyline 2000 Turbo RS</t>
  </si>
  <si>
    <t>Skyline 2000GT-R</t>
  </si>
  <si>
    <t>D 380</t>
  </si>
  <si>
    <t>Skyline GT-R</t>
  </si>
  <si>
    <t>B 541</t>
  </si>
  <si>
    <t>Skyline GT-R 40th Anniversary</t>
  </si>
  <si>
    <t>Skyline GT-R V Spec II</t>
  </si>
  <si>
    <t>B 590</t>
  </si>
  <si>
    <t>Skyline GT-R V-Spec</t>
  </si>
  <si>
    <t>Skyline GTS-R</t>
  </si>
  <si>
    <t>Skyline H/T 2000GT-R</t>
  </si>
  <si>
    <t>Stagea RS Four V</t>
  </si>
  <si>
    <t>Z Nismo</t>
  </si>
  <si>
    <t>Noble</t>
  </si>
  <si>
    <t>M600</t>
  </si>
  <si>
    <t>S1 793</t>
  </si>
  <si>
    <t>Opel</t>
  </si>
  <si>
    <t>Manta 400</t>
  </si>
  <si>
    <t>Pagani</t>
  </si>
  <si>
    <t>Huayra BC Coupe</t>
  </si>
  <si>
    <t>Huayra R</t>
  </si>
  <si>
    <t>R 954</t>
  </si>
  <si>
    <t>Zonda Cinque Roadster</t>
  </si>
  <si>
    <t>S2 812</t>
  </si>
  <si>
    <t>Zonda R</t>
  </si>
  <si>
    <t>R 918</t>
  </si>
  <si>
    <t>Peel</t>
  </si>
  <si>
    <t>P50</t>
  </si>
  <si>
    <t>P50 Trolli Edition</t>
  </si>
  <si>
    <t>Partnership DLC</t>
  </si>
  <si>
    <t>Penhall</t>
  </si>
  <si>
    <t>The Cholla</t>
  </si>
  <si>
    <t>Peugeot</t>
  </si>
  <si>
    <t>205 Rallye</t>
  </si>
  <si>
    <t>France</t>
  </si>
  <si>
    <t>205 Turbo 16</t>
  </si>
  <si>
    <t>207 Super 2000</t>
  </si>
  <si>
    <t>A 632</t>
  </si>
  <si>
    <t>Plymouth</t>
  </si>
  <si>
    <t>Barracuda Formula S</t>
  </si>
  <si>
    <t>C 445</t>
  </si>
  <si>
    <t>Cuda 426 HEMI</t>
  </si>
  <si>
    <t>1958</t>
  </si>
  <si>
    <t>Fury</t>
  </si>
  <si>
    <t>D 361</t>
  </si>
  <si>
    <t>Polaris</t>
  </si>
  <si>
    <t>RZR Pro XP Factory Racing Limited Edition</t>
  </si>
  <si>
    <t>RZR Pro XP Ultimate</t>
  </si>
  <si>
    <t>C 496</t>
  </si>
  <si>
    <t>Pontiac</t>
  </si>
  <si>
    <t>Firebird Trans Am</t>
  </si>
  <si>
    <t>D 312</t>
  </si>
  <si>
    <t>Firebird Trans Am GTA</t>
  </si>
  <si>
    <t>D 382</t>
  </si>
  <si>
    <t>Porsche</t>
  </si>
  <si>
    <t>#185 959 Prodrive Rally Raid</t>
  </si>
  <si>
    <t>#203 Porsche AG 961</t>
  </si>
  <si>
    <t>#3 917 LH</t>
  </si>
  <si>
    <t>S1 777</t>
  </si>
  <si>
    <t>#3 917 LH Forza Edition</t>
  </si>
  <si>
    <t>#70 Motorsport 935</t>
  </si>
  <si>
    <t>S2 853</t>
  </si>
  <si>
    <t>718 Cayman GT4 RS</t>
  </si>
  <si>
    <t>718 Cayman GTS</t>
  </si>
  <si>
    <t>A 675</t>
  </si>
  <si>
    <t>911 Carrera RS</t>
  </si>
  <si>
    <t>C 490</t>
  </si>
  <si>
    <t>911 Carrera S</t>
  </si>
  <si>
    <t>911 GT1 Strassenversion</t>
  </si>
  <si>
    <t>S1 746</t>
  </si>
  <si>
    <t>911 GT2</t>
  </si>
  <si>
    <t>911 GT2 RS</t>
  </si>
  <si>
    <t>911 GT3</t>
  </si>
  <si>
    <t>911 GT3 RS</t>
  </si>
  <si>
    <t>S1 758</t>
  </si>
  <si>
    <t>911 GT3 RS 4.0</t>
  </si>
  <si>
    <t>911 Rallye</t>
  </si>
  <si>
    <t>911 Turbo 3.3</t>
  </si>
  <si>
    <t>B 550</t>
  </si>
  <si>
    <t>911 Turbo S</t>
  </si>
  <si>
    <t>911 Turbo S Leichtbau</t>
  </si>
  <si>
    <t>918 Spider</t>
  </si>
  <si>
    <t>928 GTS</t>
  </si>
  <si>
    <t>944 Turbo</t>
  </si>
  <si>
    <t>B 539</t>
  </si>
  <si>
    <t>959</t>
  </si>
  <si>
    <t>A 661</t>
  </si>
  <si>
    <t>968 Turbo S</t>
  </si>
  <si>
    <t>Carrera GT</t>
  </si>
  <si>
    <t>Cayenne Turbo</t>
  </si>
  <si>
    <t>A 638</t>
  </si>
  <si>
    <t>Cayman GT3 WTAC</t>
  </si>
  <si>
    <t>S2 856</t>
  </si>
  <si>
    <t>Macan LPR Rally Raid</t>
  </si>
  <si>
    <t>Mission R</t>
  </si>
  <si>
    <t>S2 865</t>
  </si>
  <si>
    <t>Taycan Turbo S</t>
  </si>
  <si>
    <t>S1 725</t>
  </si>
  <si>
    <t>Radical</t>
  </si>
  <si>
    <t>RXC Turbo</t>
  </si>
  <si>
    <t>S2 842</t>
  </si>
  <si>
    <t>Ram</t>
  </si>
  <si>
    <t>1500 TRX</t>
  </si>
  <si>
    <t>Reliant</t>
  </si>
  <si>
    <t>Supervan III</t>
  </si>
  <si>
    <t>Renault</t>
  </si>
  <si>
    <t>5 Turbo</t>
  </si>
  <si>
    <t>8 Gordini</t>
  </si>
  <si>
    <t>D 322</t>
  </si>
  <si>
    <t>Clio Williams</t>
  </si>
  <si>
    <t>D 400</t>
  </si>
  <si>
    <t>Megane R.S.</t>
  </si>
  <si>
    <t>Mégane R26.R</t>
  </si>
  <si>
    <t>B 561</t>
  </si>
  <si>
    <t>Megane RS 250</t>
  </si>
  <si>
    <t>B 538</t>
  </si>
  <si>
    <t>Rimac</t>
  </si>
  <si>
    <t>Nevera</t>
  </si>
  <si>
    <t>Croatia</t>
  </si>
  <si>
    <t>Rivian</t>
  </si>
  <si>
    <t>R1T</t>
  </si>
  <si>
    <t>RJ Anderson</t>
  </si>
  <si>
    <t>#37 Polaris RZR Pro 2 Truck</t>
  </si>
  <si>
    <t>#37 Polaris RZR Pro 4 Truck</t>
  </si>
  <si>
    <t>Saleen</t>
  </si>
  <si>
    <t>S7 LM</t>
  </si>
  <si>
    <t>Schuppan</t>
  </si>
  <si>
    <t>962CR</t>
  </si>
  <si>
    <t>Shelby</t>
  </si>
  <si>
    <t>Cobra 427 S/C</t>
  </si>
  <si>
    <t>Cobra Daytona Coupe</t>
  </si>
  <si>
    <t>B 515</t>
  </si>
  <si>
    <t>SIERRA Cars</t>
  </si>
  <si>
    <t>#23 Yokohama ALPHA</t>
  </si>
  <si>
    <t>700R</t>
  </si>
  <si>
    <t>RX3</t>
  </si>
  <si>
    <t>SRT</t>
  </si>
  <si>
    <t>Viper GTS</t>
  </si>
  <si>
    <t>Subaru</t>
  </si>
  <si>
    <t>Brat GL</t>
  </si>
  <si>
    <t>D 159</t>
  </si>
  <si>
    <t>BRZ</t>
  </si>
  <si>
    <t>C 463</t>
  </si>
  <si>
    <t>BRZ Forza Edition</t>
  </si>
  <si>
    <t>Impreza 22B STi</t>
  </si>
  <si>
    <t>Impreza WRX STI</t>
  </si>
  <si>
    <t>B 552</t>
  </si>
  <si>
    <t>Legacy B4 2.0 GT</t>
  </si>
  <si>
    <t>Legacy RS</t>
  </si>
  <si>
    <t>C 406</t>
  </si>
  <si>
    <t>STI S209</t>
  </si>
  <si>
    <t>SVX</t>
  </si>
  <si>
    <t>C 466</t>
  </si>
  <si>
    <t>Vivio RX-R</t>
  </si>
  <si>
    <t>D 281</t>
  </si>
  <si>
    <t>Vivio RX-R Forza Edition</t>
  </si>
  <si>
    <t>WRX</t>
  </si>
  <si>
    <t>WRX STI</t>
  </si>
  <si>
    <t>WRX STI ARX Supercar</t>
  </si>
  <si>
    <t>Toyota</t>
  </si>
  <si>
    <t>#1 T100 Baja Truck</t>
  </si>
  <si>
    <t>B 584</t>
  </si>
  <si>
    <t>2000GT</t>
  </si>
  <si>
    <t>D 377</t>
  </si>
  <si>
    <t>4Runner TRD Pro</t>
  </si>
  <si>
    <t>C 421</t>
  </si>
  <si>
    <t>86</t>
  </si>
  <si>
    <t>86 Stories</t>
  </si>
  <si>
    <t>Altezza RS200 Z EDITION</t>
  </si>
  <si>
    <t>C 461</t>
  </si>
  <si>
    <t>Camry TRD</t>
  </si>
  <si>
    <t>B 525</t>
  </si>
  <si>
    <t>Celica GT</t>
  </si>
  <si>
    <t>D 287</t>
  </si>
  <si>
    <t>Celica GT-Four RC ST185</t>
  </si>
  <si>
    <t>C 438</t>
  </si>
  <si>
    <t>Celica GT-Four ST205</t>
  </si>
  <si>
    <t>Celica Sport Specialty II</t>
  </si>
  <si>
    <t>C 433</t>
  </si>
  <si>
    <t>Chaser 2.5 Tourer V</t>
  </si>
  <si>
    <t>B 504</t>
  </si>
  <si>
    <t>Chaser GT Twin Turbo</t>
  </si>
  <si>
    <t>Corolla SR5</t>
  </si>
  <si>
    <t>D 197</t>
  </si>
  <si>
    <t>Crown Super Deluxe Taxi</t>
  </si>
  <si>
    <t>D 181</t>
  </si>
  <si>
    <t>FJ40</t>
  </si>
  <si>
    <t>GR Corolla</t>
  </si>
  <si>
    <t>B 596</t>
  </si>
  <si>
    <t>GR Supra</t>
  </si>
  <si>
    <t>A 616</t>
  </si>
  <si>
    <t>GR Yaris</t>
  </si>
  <si>
    <t>B 558</t>
  </si>
  <si>
    <t>GR86</t>
  </si>
  <si>
    <t>J&amp;J Motorsport Supra WTAC</t>
  </si>
  <si>
    <t>S2 828</t>
  </si>
  <si>
    <t>JPN Taxi</t>
  </si>
  <si>
    <t>D 248</t>
  </si>
  <si>
    <t>Land Cruiser</t>
  </si>
  <si>
    <t>Land Cruiser Arctic Trucks AT37</t>
  </si>
  <si>
    <t>MR2 GT</t>
  </si>
  <si>
    <t>B 522</t>
  </si>
  <si>
    <t>MR2 SC</t>
  </si>
  <si>
    <t>D 397</t>
  </si>
  <si>
    <t>Prius Prime XSE Premium</t>
  </si>
  <si>
    <t>C 472</t>
  </si>
  <si>
    <t>Sera</t>
  </si>
  <si>
    <t>D 344</t>
  </si>
  <si>
    <t>Soarer 2.5 GT-T</t>
  </si>
  <si>
    <t>C 491</t>
  </si>
  <si>
    <t>Sports 800</t>
  </si>
  <si>
    <t>D 141</t>
  </si>
  <si>
    <t>Collection Journal, Wheelspin, Seasonal</t>
  </si>
  <si>
    <t>Sports 800 Fanta Edition</t>
  </si>
  <si>
    <t>Sprinter Trueno GT Apex</t>
  </si>
  <si>
    <t>D 376</t>
  </si>
  <si>
    <t>Sprinter Trueno GT Apex Forza Edition</t>
  </si>
  <si>
    <t>Starlet Glanza V</t>
  </si>
  <si>
    <t>Supra 2.0 GT</t>
  </si>
  <si>
    <t>C 453</t>
  </si>
  <si>
    <t>Supra RZ</t>
  </si>
  <si>
    <t>B 529</t>
  </si>
  <si>
    <t>Tacoma TRD Pro</t>
  </si>
  <si>
    <t>C 409</t>
  </si>
  <si>
    <t>Tacoma TRD Pro Forza Edition</t>
  </si>
  <si>
    <t>TVR</t>
  </si>
  <si>
    <t>Cerbera Speed 12</t>
  </si>
  <si>
    <t>Griffith</t>
  </si>
  <si>
    <t>S1 729</t>
  </si>
  <si>
    <t>Sagaris</t>
  </si>
  <si>
    <t>Ultima</t>
  </si>
  <si>
    <t>Evolution Coupe 1020</t>
  </si>
  <si>
    <t>R 925</t>
  </si>
  <si>
    <t>Volkswagen</t>
  </si>
  <si>
    <t>#34 Andretti Rally Cross Beetle</t>
  </si>
  <si>
    <t>1963</t>
  </si>
  <si>
    <t>Beetle</t>
  </si>
  <si>
    <t>Class 5/1600 Baja Bug</t>
  </si>
  <si>
    <t>D 260</t>
  </si>
  <si>
    <t>Corrado VR6</t>
  </si>
  <si>
    <t>C 426</t>
  </si>
  <si>
    <t>Golf GTI</t>
  </si>
  <si>
    <t>D 314</t>
  </si>
  <si>
    <t>Golf Gti 16v Mk 2</t>
  </si>
  <si>
    <t>D 308</t>
  </si>
  <si>
    <t>Golf R</t>
  </si>
  <si>
    <t>Pickup LX</t>
  </si>
  <si>
    <t>Rallye Golf</t>
  </si>
  <si>
    <t>C 440</t>
  </si>
  <si>
    <t>Scirocco R</t>
  </si>
  <si>
    <t>Type 2 De Luxe</t>
  </si>
  <si>
    <t>Volvo</t>
  </si>
  <si>
    <t>242 Turbo Evolution</t>
  </si>
  <si>
    <t>Wuling</t>
  </si>
  <si>
    <t>Hongguang Mini EV</t>
  </si>
  <si>
    <t>China</t>
  </si>
  <si>
    <t>Sunshine S</t>
  </si>
  <si>
    <t>D 107</t>
  </si>
  <si>
    <t>Sunshine S Forza Edition</t>
  </si>
  <si>
    <t>Zenvo</t>
  </si>
  <si>
    <t>TSR-S</t>
  </si>
  <si>
    <t>R 906</t>
  </si>
  <si>
    <t>Denmark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</si>
</sst>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15">
    <font>
      <sz val="11.0"/>
      <color theme="1"/>
      <name val="Roboto"/>
      <scheme val="minor"/>
    </font>
    <font>
      <b/>
      <color theme="1"/>
      <name val="Roboto"/>
      <scheme val="minor"/>
    </font>
    <font>
      <color theme="1"/>
      <name val="Roboto"/>
      <scheme val="minor"/>
    </font>
    <font>
      <b/>
      <sz val="11.0"/>
      <color theme="1"/>
      <name val="Roboto"/>
    </font>
    <font>
      <color theme="5"/>
      <name val="Roboto"/>
      <scheme val="minor"/>
    </font>
    <font>
      <sz val="11.0"/>
      <color theme="5"/>
      <name val="Roboto"/>
    </font>
    <font>
      <sz val="11.0"/>
      <color rgb="FFFFFFFF"/>
      <name val="Roboto"/>
    </font>
    <font>
      <sz val="11.0"/>
      <color rgb="FFEA4335"/>
      <name val="Roboto"/>
    </font>
    <font>
      <sz val="11.0"/>
      <color theme="1"/>
      <name val="Roboto"/>
    </font>
    <font>
      <color rgb="FFFFFFFF"/>
      <name val="Roboto"/>
      <scheme val="minor"/>
    </font>
    <font>
      <color theme="7"/>
      <name val="Roboto"/>
      <scheme val="minor"/>
    </font>
    <font>
      <sz val="11.0"/>
      <color theme="7"/>
      <name val="Roboto"/>
    </font>
    <font>
      <sz val="11.0"/>
      <color rgb="FF34A853"/>
      <name val="Roboto"/>
    </font>
    <font>
      <color rgb="FFEA4335"/>
      <name val="Roboto"/>
      <scheme val="minor"/>
    </font>
    <font>
      <color rgb="FF34A853"/>
      <name val="Roboto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C533"/>
        <bgColor rgb="FFFFC533"/>
      </patternFill>
    </fill>
    <fill>
      <patternFill patternType="solid">
        <fgColor rgb="FF07ABD1"/>
        <bgColor rgb="FF07ABD1"/>
      </patternFill>
    </fill>
    <fill>
      <patternFill patternType="solid">
        <fgColor rgb="FF42BDF4"/>
        <bgColor rgb="FF42BDF4"/>
      </patternFill>
    </fill>
    <fill>
      <patternFill patternType="solid">
        <fgColor rgb="FF2AA819"/>
        <bgColor rgb="FF2AA819"/>
      </patternFill>
    </fill>
    <fill>
      <patternFill patternType="solid">
        <fgColor rgb="FFFF632C"/>
        <bgColor rgb="FFFF632C"/>
      </patternFill>
    </fill>
    <fill>
      <patternFill patternType="solid">
        <fgColor rgb="FFB960E8"/>
        <bgColor rgb="FFB960E8"/>
      </patternFill>
    </fill>
    <fill>
      <patternFill patternType="solid">
        <fgColor rgb="FFD147EA"/>
        <bgColor rgb="FFD147EA"/>
      </patternFill>
    </fill>
    <fill>
      <patternFill patternType="solid">
        <fgColor rgb="FFED8507"/>
        <bgColor rgb="FFED8507"/>
      </patternFill>
    </fill>
    <fill>
      <patternFill patternType="solid">
        <fgColor rgb="FFFF1A46"/>
        <bgColor rgb="FFFF1A46"/>
      </patternFill>
    </fill>
    <fill>
      <patternFill patternType="solid">
        <fgColor rgb="FFD61A9C"/>
        <bgColor rgb="FFD61A9C"/>
      </patternFill>
    </fill>
    <fill>
      <patternFill patternType="solid">
        <fgColor rgb="FF165EDB"/>
        <bgColor rgb="FF165EDB"/>
      </patternFill>
    </fill>
    <fill>
      <patternFill patternType="solid">
        <fgColor rgb="FF8557F0"/>
        <bgColor rgb="FF8557F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Font="1"/>
    <xf borderId="0" fillId="2" fontId="2" numFmtId="0" xfId="0" applyAlignment="1" applyFill="1" applyFont="1">
      <alignment horizontal="left" readingOrder="0" vertical="center"/>
    </xf>
    <xf borderId="0" fillId="0" fontId="5" numFmtId="3" xfId="0" applyAlignment="1" applyFont="1" applyNumberFormat="1">
      <alignment horizontal="left" vertical="center"/>
    </xf>
    <xf borderId="0" fillId="3" fontId="6" numFmtId="0" xfId="0" applyAlignment="1" applyFill="1" applyFont="1">
      <alignment horizontal="left" vertical="center"/>
    </xf>
    <xf borderId="0" fillId="0" fontId="7" numFmtId="3" xfId="0" applyAlignment="1" applyFont="1" applyNumberFormat="1">
      <alignment horizontal="left" readingOrder="0" vertical="center"/>
    </xf>
    <xf borderId="0" fillId="0" fontId="7" numFmtId="9" xfId="0" applyAlignment="1" applyFont="1" applyNumberFormat="1">
      <alignment horizontal="left" readingOrder="0" vertical="center"/>
    </xf>
    <xf borderId="0" fillId="0" fontId="7" numFmtId="164" xfId="0" applyAlignment="1" applyFont="1" applyNumberForma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4" xfId="0" applyAlignment="1" applyFont="1" applyNumberFormat="1">
      <alignment horizontal="left" readingOrder="0" vertical="center"/>
    </xf>
    <xf borderId="0" fillId="4" fontId="2" numFmtId="0" xfId="0" applyAlignment="1" applyFill="1" applyFont="1">
      <alignment horizontal="left" readingOrder="0" vertical="center"/>
    </xf>
    <xf borderId="0" fillId="0" fontId="5" numFmtId="9" xfId="0" applyAlignment="1" applyFont="1" applyNumberFormat="1">
      <alignment horizontal="left" readingOrder="0" vertical="center"/>
    </xf>
    <xf borderId="0" fillId="0" fontId="8" numFmtId="3" xfId="0" applyAlignment="1" applyFont="1" applyNumberFormat="1">
      <alignment horizontal="left" vertical="center"/>
    </xf>
    <xf borderId="0" fillId="5" fontId="6" numFmtId="0" xfId="0" applyAlignment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8" numFmtId="3" xfId="0" applyAlignment="1" applyFont="1" applyNumberFormat="1">
      <alignment horizontal="left" readingOrder="0" vertical="center"/>
    </xf>
    <xf borderId="0" fillId="0" fontId="8" numFmtId="9" xfId="0" applyAlignment="1" applyFont="1" applyNumberFormat="1">
      <alignment horizontal="left" readingOrder="0" vertical="center"/>
    </xf>
    <xf borderId="0" fillId="0" fontId="8" numFmtId="164" xfId="0" applyAlignment="1" applyFont="1" applyNumberFormat="1">
      <alignment horizontal="left" readingOrder="0" vertical="center"/>
    </xf>
    <xf borderId="0" fillId="6" fontId="9" numFmtId="0" xfId="0" applyAlignment="1" applyFill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8" numFmtId="4" xfId="0" applyAlignment="1" applyFont="1" applyNumberFormat="1">
      <alignment horizontal="left" readingOrder="0" vertical="center"/>
    </xf>
    <xf borderId="0" fillId="0" fontId="5" numFmtId="9" xfId="0" applyAlignment="1" applyFont="1" applyNumberFormat="1">
      <alignment horizontal="left" vertical="center"/>
    </xf>
    <xf borderId="0" fillId="0" fontId="5" numFmtId="164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readingOrder="0"/>
    </xf>
    <xf borderId="0" fillId="7" fontId="9" numFmtId="0" xfId="0" applyAlignment="1" applyFill="1" applyFont="1">
      <alignment horizontal="left" readingOrder="0" vertical="center"/>
    </xf>
    <xf borderId="0" fillId="8" fontId="6" numFmtId="3" xfId="0" applyAlignment="1" applyFill="1" applyFont="1" applyNumberFormat="1">
      <alignment horizontal="left" vertical="center"/>
    </xf>
    <xf borderId="0" fillId="8" fontId="6" numFmtId="0" xfId="0" applyAlignment="1" applyFill="1" applyFont="1">
      <alignment horizontal="left" vertical="center"/>
    </xf>
    <xf borderId="0" fillId="9" fontId="6" numFmtId="0" xfId="0" applyAlignment="1" applyFill="1" applyFont="1">
      <alignment horizontal="left" vertical="center"/>
    </xf>
    <xf borderId="0" fillId="10" fontId="9" numFmtId="0" xfId="0" applyAlignment="1" applyFill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11" numFmtId="3" xfId="0" applyAlignment="1" applyFont="1" applyNumberFormat="1">
      <alignment horizontal="left" vertical="center"/>
    </xf>
    <xf borderId="0" fillId="0" fontId="12" numFmtId="3" xfId="0" applyAlignment="1" applyFont="1" applyNumberFormat="1">
      <alignment horizontal="left" readingOrder="0" vertical="center"/>
    </xf>
    <xf borderId="0" fillId="0" fontId="12" numFmtId="9" xfId="0" applyAlignment="1" applyFont="1" applyNumberFormat="1">
      <alignment horizontal="left" readingOrder="0" vertical="center"/>
    </xf>
    <xf borderId="0" fillId="0" fontId="12" numFmtId="164" xfId="0" applyAlignment="1" applyFont="1" applyNumberForma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 vertical="center"/>
    </xf>
    <xf borderId="0" fillId="0" fontId="11" numFmtId="4" xfId="0" applyAlignment="1" applyFont="1" applyNumberFormat="1">
      <alignment horizontal="left" readingOrder="0" vertical="center"/>
    </xf>
    <xf borderId="0" fillId="0" fontId="11" numFmtId="9" xfId="0" applyAlignment="1" applyFont="1" applyNumberFormat="1">
      <alignment horizontal="left" readingOrder="0" vertical="center"/>
    </xf>
    <xf borderId="0" fillId="0" fontId="11" numFmtId="3" xfId="0" applyAlignment="1" applyFont="1" applyNumberFormat="1">
      <alignment horizontal="left" readingOrder="0" vertical="center"/>
    </xf>
    <xf borderId="0" fillId="0" fontId="11" numFmtId="164" xfId="0" applyAlignment="1" applyFont="1" applyNumberFormat="1">
      <alignment horizontal="left" readingOrder="0" vertical="center"/>
    </xf>
    <xf borderId="0" fillId="0" fontId="8" numFmtId="0" xfId="0" applyAlignment="1" applyFont="1">
      <alignment horizontal="left" vertical="center"/>
    </xf>
    <xf borderId="0" fillId="11" fontId="9" numFmtId="0" xfId="0" applyAlignment="1" applyFill="1" applyFont="1">
      <alignment horizontal="left" readingOrder="0" vertical="center"/>
    </xf>
    <xf borderId="0" fillId="12" fontId="9" numFmtId="0" xfId="0" applyAlignment="1" applyFill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0" fillId="0" fontId="7" numFmtId="3" xfId="0" applyAlignment="1" applyFont="1" applyNumberFormat="1">
      <alignment horizontal="left" vertical="center"/>
    </xf>
    <xf borderId="0" fillId="13" fontId="6" numFmtId="0" xfId="0" applyAlignment="1" applyFill="1" applyFont="1">
      <alignment horizontal="left" vertical="center"/>
    </xf>
    <xf borderId="0" fillId="0" fontId="14" numFmtId="0" xfId="0" applyAlignment="1" applyFont="1">
      <alignment horizontal="left" readingOrder="0" vertical="center"/>
    </xf>
    <xf borderId="0" fillId="0" fontId="12" numFmtId="3" xfId="0" applyAlignment="1" applyFont="1" applyNumberFormat="1">
      <alignment horizontal="left" vertical="center"/>
    </xf>
    <xf borderId="0" fillId="0" fontId="11" numFmtId="9" xfId="0" applyAlignment="1" applyFont="1" applyNumberFormat="1">
      <alignment horizontal="left" vertical="center"/>
    </xf>
    <xf borderId="0" fillId="0" fontId="11" numFmtId="164" xfId="0" applyAlignment="1" applyFont="1" applyNumberFormat="1">
      <alignment horizontal="left" vertical="center"/>
    </xf>
    <xf borderId="0" fillId="0" fontId="11" numFmtId="0" xfId="0" applyAlignment="1" applyFont="1">
      <alignment horizontal="left" vertical="center"/>
    </xf>
    <xf borderId="0" fillId="0" fontId="5" numFmtId="165" xfId="0" applyAlignment="1" applyFont="1" applyNumberFormat="1">
      <alignment horizontal="left" readingOrder="0" vertical="center"/>
    </xf>
    <xf borderId="0" fillId="0" fontId="8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22.88"/>
    <col customWidth="1" min="3" max="3" width="55.0"/>
    <col customWidth="1" min="4" max="4" width="19.5"/>
    <col customWidth="1" min="5" max="5" width="8.0"/>
    <col customWidth="1" min="6" max="6" width="10.0"/>
  </cols>
  <sheetData>
    <row r="1" ht="16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6.5" customHeight="1">
      <c r="A2" s="6" t="str">
        <f>'Detailed Car List + Stats'!B2</f>
        <v>2017</v>
      </c>
      <c r="B2" s="6" t="str">
        <f>'Detailed Car List + Stats'!C2</f>
        <v>Abarth</v>
      </c>
      <c r="C2" s="6" t="str">
        <f>'Detailed Car List + Stats'!D2</f>
        <v>124 Spider</v>
      </c>
      <c r="D2" s="6" t="str">
        <f>'Detailed Car List + Stats'!E2</f>
        <v>Modern Sports Cars</v>
      </c>
      <c r="E2" s="6" t="s">
        <v>28</v>
      </c>
      <c r="F2" s="6" t="str">
        <f>'Detailed Car List + Stats'!G2</f>
        <v>Italy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6.5" customHeight="1">
      <c r="A3" s="6" t="str">
        <f>'Detailed Car List + Stats'!B3</f>
        <v>1968</v>
      </c>
      <c r="B3" s="6" t="str">
        <f>'Detailed Car List + Stats'!C3</f>
        <v>Abarth</v>
      </c>
      <c r="C3" s="6" t="str">
        <f>'Detailed Car List + Stats'!D3</f>
        <v>595 Esseesse</v>
      </c>
      <c r="D3" s="6" t="str">
        <f>'Detailed Car List + Stats'!E3</f>
        <v>Cult Cars</v>
      </c>
      <c r="E3" s="6" t="s">
        <v>31</v>
      </c>
      <c r="F3" s="6" t="str">
        <f>'Detailed Car List + Stats'!G3</f>
        <v>Italy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.5" customHeight="1">
      <c r="A4" s="6" t="str">
        <f>'Detailed Car List + Stats'!B4</f>
        <v>2016</v>
      </c>
      <c r="B4" s="6" t="str">
        <f>'Detailed Car List + Stats'!C4</f>
        <v>Abarth</v>
      </c>
      <c r="C4" s="6" t="str">
        <f>'Detailed Car List + Stats'!D4</f>
        <v>695 Biposto</v>
      </c>
      <c r="D4" s="6" t="str">
        <f>'Detailed Car List + Stats'!E4</f>
        <v>Hot Hatch</v>
      </c>
      <c r="E4" s="6" t="s">
        <v>35</v>
      </c>
      <c r="F4" s="6" t="str">
        <f>'Detailed Car List + Stats'!G4</f>
        <v>Italy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6.5" customHeight="1">
      <c r="A5" s="6" t="str">
        <f>'Detailed Car List + Stats'!B5</f>
        <v>1980</v>
      </c>
      <c r="B5" s="6" t="str">
        <f>'Detailed Car List + Stats'!C5</f>
        <v>Abarth</v>
      </c>
      <c r="C5" s="6" t="str">
        <f>'Detailed Car List + Stats'!D5</f>
        <v>Fiat 131</v>
      </c>
      <c r="D5" s="6" t="str">
        <f>'Detailed Car List + Stats'!E5</f>
        <v>Classic Rally</v>
      </c>
      <c r="E5" s="6" t="s">
        <v>31</v>
      </c>
      <c r="F5" s="6" t="str">
        <f>'Detailed Car List + Stats'!G5</f>
        <v>Italy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6.5" customHeight="1">
      <c r="A6" s="6" t="str">
        <f>'Detailed Car List + Stats'!B6</f>
        <v>2023</v>
      </c>
      <c r="B6" s="6" t="str">
        <f>'Detailed Car List + Stats'!C6</f>
        <v>Acura</v>
      </c>
      <c r="C6" s="6" t="str">
        <f>'Detailed Car List + Stats'!D6</f>
        <v>Integra A-Spec</v>
      </c>
      <c r="D6" s="6" t="str">
        <f>'Detailed Car List + Stats'!E6</f>
        <v>Hot Hatch</v>
      </c>
      <c r="E6" s="6" t="s">
        <v>28</v>
      </c>
      <c r="F6" s="6" t="str">
        <f>'Detailed Car List + Stats'!G6</f>
        <v>USA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6.5" customHeight="1">
      <c r="A7" s="6" t="str">
        <f>'Detailed Car List + Stats'!B7</f>
        <v>2001</v>
      </c>
      <c r="B7" s="6" t="str">
        <f>'Detailed Car List + Stats'!C7</f>
        <v>Acura</v>
      </c>
      <c r="C7" s="6" t="str">
        <f>'Detailed Car List + Stats'!D7</f>
        <v>Integra Type R</v>
      </c>
      <c r="D7" s="6" t="str">
        <f>'Detailed Car List + Stats'!E7</f>
        <v>Retro Hot Hatch</v>
      </c>
      <c r="E7" s="6" t="s">
        <v>28</v>
      </c>
      <c r="F7" s="6" t="str">
        <f>'Detailed Car List + Stats'!G7</f>
        <v>USA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6.5" customHeight="1">
      <c r="A8" s="6" t="str">
        <f>'Detailed Car List + Stats'!B8</f>
        <v>2022</v>
      </c>
      <c r="B8" s="6" t="str">
        <f>'Detailed Car List + Stats'!C8</f>
        <v>Acura</v>
      </c>
      <c r="C8" s="6" t="str">
        <f>'Detailed Car List + Stats'!D8</f>
        <v>NSX Type S</v>
      </c>
      <c r="D8" s="6" t="str">
        <f>'Detailed Car List + Stats'!E8</f>
        <v>Modern Supercars</v>
      </c>
      <c r="E8" s="6" t="s">
        <v>53</v>
      </c>
      <c r="F8" s="6" t="str">
        <f>'Detailed Car List + Stats'!G8</f>
        <v>USA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6.5" customHeight="1">
      <c r="A9" s="6" t="str">
        <f>'Detailed Car List + Stats'!B9</f>
        <v>2002</v>
      </c>
      <c r="B9" s="6" t="str">
        <f>'Detailed Car List + Stats'!C9</f>
        <v>Acura</v>
      </c>
      <c r="C9" s="6" t="str">
        <f>'Detailed Car List + Stats'!D9</f>
        <v>RSX Type S</v>
      </c>
      <c r="D9" s="6" t="str">
        <f>'Detailed Car List + Stats'!E9</f>
        <v>Retro Hot Hatch</v>
      </c>
      <c r="E9" s="6" t="s">
        <v>28</v>
      </c>
      <c r="F9" s="6" t="str">
        <f>'Detailed Car List + Stats'!G9</f>
        <v>USA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6.5" customHeight="1">
      <c r="A10" s="6" t="str">
        <f>'Detailed Car List + Stats'!B10</f>
        <v>1992</v>
      </c>
      <c r="B10" s="6" t="str">
        <f>'Detailed Car List + Stats'!C10</f>
        <v>Alfa Romeo</v>
      </c>
      <c r="C10" s="6" t="str">
        <f>'Detailed Car List + Stats'!D10</f>
        <v>155 Q4</v>
      </c>
      <c r="D10" s="6" t="str">
        <f>'Detailed Car List + Stats'!E10</f>
        <v>Retro Super Saloons</v>
      </c>
      <c r="E10" s="6" t="s">
        <v>28</v>
      </c>
      <c r="F10" s="6" t="str">
        <f>'Detailed Car List + Stats'!G10</f>
        <v>Italy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6.5" customHeight="1">
      <c r="A11" s="6" t="str">
        <f>'Detailed Car List + Stats'!B11</f>
        <v>1968</v>
      </c>
      <c r="B11" s="6" t="str">
        <f>'Detailed Car List + Stats'!C11</f>
        <v>Alfa Romeo</v>
      </c>
      <c r="C11" s="6" t="str">
        <f>'Detailed Car List + Stats'!D11</f>
        <v>33 Stradale</v>
      </c>
      <c r="D11" s="6" t="str">
        <f>'Detailed Car List + Stats'!E11</f>
        <v>Classic Racers</v>
      </c>
      <c r="E11" s="6" t="s">
        <v>35</v>
      </c>
      <c r="F11" s="6" t="str">
        <f>'Detailed Car List + Stats'!G11</f>
        <v>Italy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6.5" customHeight="1">
      <c r="A12" s="6" t="str">
        <f>'Detailed Car List + Stats'!B12</f>
        <v>2014</v>
      </c>
      <c r="B12" s="6" t="str">
        <f>'Detailed Car List + Stats'!C12</f>
        <v>Alfa Romeo</v>
      </c>
      <c r="C12" s="6" t="str">
        <f>'Detailed Car List + Stats'!D12</f>
        <v>4C</v>
      </c>
      <c r="D12" s="6" t="str">
        <f>'Detailed Car List + Stats'!E12</f>
        <v>Modern Sports Cars</v>
      </c>
      <c r="E12" s="6" t="s">
        <v>78</v>
      </c>
      <c r="F12" s="6" t="str">
        <f>'Detailed Car List + Stats'!G12</f>
        <v>Italy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6.5" customHeight="1">
      <c r="A13" s="6" t="str">
        <f>'Detailed Car List + Stats'!B13</f>
        <v>2007</v>
      </c>
      <c r="B13" s="6" t="str">
        <f>'Detailed Car List + Stats'!C13</f>
        <v>Alfa Romeo</v>
      </c>
      <c r="C13" s="6" t="str">
        <f>'Detailed Car List + Stats'!D13</f>
        <v>8C Competizione</v>
      </c>
      <c r="D13" s="6" t="str">
        <f>'Detailed Car List + Stats'!E13</f>
        <v>GT Cars</v>
      </c>
      <c r="E13" s="6" t="s">
        <v>78</v>
      </c>
      <c r="F13" s="6" t="str">
        <f>'Detailed Car List + Stats'!G13</f>
        <v>Italy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6.5" customHeight="1">
      <c r="A14" s="6" t="str">
        <f>'Detailed Car List + Stats'!B14</f>
        <v>1968</v>
      </c>
      <c r="B14" s="6" t="str">
        <f>'Detailed Car List + Stats'!C14</f>
        <v>Alfa Romeo</v>
      </c>
      <c r="C14" s="6" t="str">
        <f>'Detailed Car List + Stats'!D14</f>
        <v>Autodelta Tipo 33/2 Daytona</v>
      </c>
      <c r="D14" s="6" t="str">
        <f>'Detailed Car List + Stats'!E14</f>
        <v>Classic Racers</v>
      </c>
      <c r="E14" s="6" t="s">
        <v>78</v>
      </c>
      <c r="F14" s="6" t="str">
        <f>'Detailed Car List + Stats'!G14</f>
        <v>Italy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6.5" customHeight="1">
      <c r="A15" s="6" t="str">
        <f>'Detailed Car List + Stats'!B15</f>
        <v>2021</v>
      </c>
      <c r="B15" s="6" t="str">
        <f>'Detailed Car List + Stats'!C15</f>
        <v>Alfa Romeo</v>
      </c>
      <c r="C15" s="6" t="str">
        <f>'Detailed Car List + Stats'!D15</f>
        <v>Giulia GTAm</v>
      </c>
      <c r="D15" s="6" t="str">
        <f>'Detailed Car List + Stats'!E15</f>
        <v>Modern Super Saloons</v>
      </c>
      <c r="E15" s="6" t="s">
        <v>53</v>
      </c>
      <c r="F15" s="6" t="str">
        <f>'Detailed Car List + Stats'!G15</f>
        <v>Italy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6.5" customHeight="1">
      <c r="A16" s="6" t="str">
        <f>'Detailed Car List + Stats'!B16</f>
        <v>2017</v>
      </c>
      <c r="B16" s="6" t="str">
        <f>'Detailed Car List + Stats'!C16</f>
        <v>Alfa Romeo</v>
      </c>
      <c r="C16" s="6" t="str">
        <f>'Detailed Car List + Stats'!D16</f>
        <v>Giulia Quadrifoglio</v>
      </c>
      <c r="D16" s="6" t="str">
        <f>'Detailed Car List + Stats'!E16</f>
        <v>Modern Super Saloons</v>
      </c>
      <c r="E16" s="6" t="s">
        <v>78</v>
      </c>
      <c r="F16" s="6" t="str">
        <f>'Detailed Car List + Stats'!G16</f>
        <v>Italy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6.5" customHeight="1">
      <c r="A17" s="6" t="str">
        <f>'Detailed Car List + Stats'!B17</f>
        <v>1965</v>
      </c>
      <c r="B17" s="6" t="str">
        <f>'Detailed Car List + Stats'!C17</f>
        <v>Alfa Romeo</v>
      </c>
      <c r="C17" s="6" t="str">
        <f>'Detailed Car List + Stats'!D17</f>
        <v>Giulia Sprint GTA Stradale</v>
      </c>
      <c r="D17" s="6" t="str">
        <f>'Detailed Car List + Stats'!E17</f>
        <v>Rare Classics</v>
      </c>
      <c r="E17" s="6" t="s">
        <v>31</v>
      </c>
      <c r="F17" s="6" t="str">
        <f>'Detailed Car List + Stats'!G17</f>
        <v>Italy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6.5" customHeight="1">
      <c r="A18" s="6" t="str">
        <f>'Detailed Car List + Stats'!B18</f>
        <v>1965</v>
      </c>
      <c r="B18" s="6" t="str">
        <f>'Detailed Car List + Stats'!C18</f>
        <v>Alfa Romeo</v>
      </c>
      <c r="C18" s="6" t="str">
        <f>'Detailed Car List + Stats'!D18</f>
        <v>Giulia TZ2</v>
      </c>
      <c r="D18" s="6" t="str">
        <f>'Detailed Car List + Stats'!E18</f>
        <v>Classic Racers</v>
      </c>
      <c r="E18" s="6" t="s">
        <v>35</v>
      </c>
      <c r="F18" s="6" t="str">
        <f>'Detailed Car List + Stats'!G18</f>
        <v>Italy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6.5" customHeight="1">
      <c r="A19" s="6" t="str">
        <f>'Detailed Car List + Stats'!B19</f>
        <v>1990</v>
      </c>
      <c r="B19" s="6" t="str">
        <f>'Detailed Car List + Stats'!C19</f>
        <v>Alfa Romeo</v>
      </c>
      <c r="C19" s="6" t="str">
        <f>'Detailed Car List + Stats'!D19</f>
        <v>SE 048SP</v>
      </c>
      <c r="D19" s="6" t="str">
        <f>'Detailed Car List + Stats'!E19</f>
        <v>Retro Racers</v>
      </c>
      <c r="E19" s="6" t="s">
        <v>108</v>
      </c>
      <c r="F19" s="6" t="str">
        <f>'Detailed Car List + Stats'!G19</f>
        <v>Italy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6.5" customHeight="1">
      <c r="A20" s="6" t="str">
        <f>'Detailed Car List + Stats'!B20</f>
        <v>2021</v>
      </c>
      <c r="B20" s="6" t="str">
        <f>'Detailed Car List + Stats'!C20</f>
        <v>Alumicraft</v>
      </c>
      <c r="C20" s="6" t="str">
        <f>'Detailed Car List + Stats'!D20</f>
        <v>#122 Class 1 Buggy</v>
      </c>
      <c r="D20" s="6" t="str">
        <f>'Detailed Car List + Stats'!E20</f>
        <v>Unlimited Buggies</v>
      </c>
      <c r="E20" s="6" t="s">
        <v>35</v>
      </c>
      <c r="F20" s="6" t="str">
        <f>'Detailed Car List + Stats'!G20</f>
        <v>USA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6.5" customHeight="1">
      <c r="A21" s="6" t="str">
        <f>'Detailed Car List + Stats'!B21</f>
        <v>2022</v>
      </c>
      <c r="B21" s="6" t="str">
        <f>'Detailed Car List + Stats'!C21</f>
        <v>Alumicraft</v>
      </c>
      <c r="C21" s="6" t="str">
        <f>'Detailed Car List + Stats'!D21</f>
        <v>#6165 Trick Truck</v>
      </c>
      <c r="D21" s="6" t="str">
        <f>'Detailed Car List + Stats'!E21</f>
        <v>Unlimited Offroad</v>
      </c>
      <c r="E21" s="6" t="s">
        <v>28</v>
      </c>
      <c r="F21" s="6" t="str">
        <f>'Detailed Car List + Stats'!G21</f>
        <v>USA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6.5" customHeight="1">
      <c r="A22" s="6" t="str">
        <f>'Detailed Car List + Stats'!B22</f>
        <v>2015</v>
      </c>
      <c r="B22" s="6" t="str">
        <f>'Detailed Car List + Stats'!C22</f>
        <v>Alumicraft</v>
      </c>
      <c r="C22" s="6" t="str">
        <f>'Detailed Car List + Stats'!D22</f>
        <v>Class 10 Race Car</v>
      </c>
      <c r="D22" s="6" t="str">
        <f>'Detailed Car List + Stats'!E22</f>
        <v>Unlimited Buggies</v>
      </c>
      <c r="E22" s="6" t="s">
        <v>35</v>
      </c>
      <c r="F22" s="6" t="str">
        <f>'Detailed Car List + Stats'!G22</f>
        <v>USA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6.5" customHeight="1">
      <c r="A23" s="6" t="str">
        <f>'Detailed Car List + Stats'!B23</f>
        <v>2554</v>
      </c>
      <c r="B23" s="6" t="str">
        <f>'Detailed Car List + Stats'!C23</f>
        <v>AMG Transport Dynamics</v>
      </c>
      <c r="C23" s="6" t="str">
        <f>'Detailed Car List + Stats'!D23</f>
        <v>M12S Warthog CST</v>
      </c>
      <c r="D23" s="6" t="str">
        <f>'Detailed Car List + Stats'!E23</f>
        <v>Unlimited Offroad</v>
      </c>
      <c r="E23" s="6" t="s">
        <v>78</v>
      </c>
      <c r="F23" s="6" t="str">
        <f>'Detailed Car List + Stats'!G23</f>
        <v>USA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6.5" customHeight="1">
      <c r="A24" s="6" t="str">
        <f>'Detailed Car List + Stats'!B24</f>
        <v>2019</v>
      </c>
      <c r="B24" s="6" t="str">
        <f>'Detailed Car List + Stats'!C24</f>
        <v>Apollo</v>
      </c>
      <c r="C24" s="6" t="str">
        <f>'Detailed Car List + Stats'!D24</f>
        <v>Intensa Emozione</v>
      </c>
      <c r="D24" s="6" t="str">
        <f>'Detailed Car List + Stats'!E24</f>
        <v>Extreme Track Toys</v>
      </c>
      <c r="E24" s="6" t="s">
        <v>108</v>
      </c>
      <c r="F24" s="6" t="str">
        <f>'Detailed Car List + Stats'!G24</f>
        <v>Germany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6.5" customHeight="1">
      <c r="A25" s="6" t="str">
        <f>'Detailed Car List + Stats'!B25</f>
        <v>2013</v>
      </c>
      <c r="B25" s="6" t="str">
        <f>'Detailed Car List + Stats'!C25</f>
        <v>Ariel</v>
      </c>
      <c r="C25" s="6" t="str">
        <f>'Detailed Car List + Stats'!D25</f>
        <v>Atom 500 V8</v>
      </c>
      <c r="D25" s="6" t="str">
        <f>'Detailed Car List + Stats'!E25</f>
        <v>Extreme Track Toys</v>
      </c>
      <c r="E25" s="6" t="s">
        <v>138</v>
      </c>
      <c r="F25" s="6" t="str">
        <f>'Detailed Car List + Stats'!G25</f>
        <v>UK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6.5" customHeight="1">
      <c r="A26" s="6" t="str">
        <f>'Detailed Car List + Stats'!B26</f>
        <v>2016</v>
      </c>
      <c r="B26" s="6" t="str">
        <f>'Detailed Car List + Stats'!C26</f>
        <v>Ariel</v>
      </c>
      <c r="C26" s="6" t="str">
        <f>'Detailed Car List + Stats'!D26</f>
        <v>Nomad</v>
      </c>
      <c r="D26" s="6" t="str">
        <f>'Detailed Car List + Stats'!E26</f>
        <v>Unlimited Buggies</v>
      </c>
      <c r="E26" s="6" t="s">
        <v>78</v>
      </c>
      <c r="F26" s="6" t="str">
        <f>'Detailed Car List + Stats'!G26</f>
        <v>UK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6.5" customHeight="1">
      <c r="A27" s="6" t="str">
        <f>'Detailed Car List + Stats'!B27</f>
        <v>2017</v>
      </c>
      <c r="B27" s="6" t="str">
        <f>'Detailed Car List + Stats'!C27</f>
        <v>Aston Martin</v>
      </c>
      <c r="C27" s="6" t="str">
        <f>'Detailed Car List + Stats'!D27</f>
        <v>DB11</v>
      </c>
      <c r="D27" s="6" t="str">
        <f>'Detailed Car List + Stats'!E27</f>
        <v>Super GT</v>
      </c>
      <c r="E27" s="6" t="s">
        <v>78</v>
      </c>
      <c r="F27" s="6" t="str">
        <f>'Detailed Car List + Stats'!G27</f>
        <v>UK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6.5" customHeight="1">
      <c r="A28" s="6" t="str">
        <f>'Detailed Car List + Stats'!B28</f>
        <v>1964</v>
      </c>
      <c r="B28" s="6" t="str">
        <f>'Detailed Car List + Stats'!C28</f>
        <v>Aston Martin</v>
      </c>
      <c r="C28" s="6" t="str">
        <f>'Detailed Car List + Stats'!D28</f>
        <v>DB5</v>
      </c>
      <c r="D28" s="6" t="str">
        <f>'Detailed Car List + Stats'!E28</f>
        <v>Rare Classics</v>
      </c>
      <c r="E28" s="6" t="s">
        <v>28</v>
      </c>
      <c r="F28" s="6" t="str">
        <f>'Detailed Car List + Stats'!G28</f>
        <v>UK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6.5" customHeight="1">
      <c r="A29" s="6" t="str">
        <f>'Detailed Car List + Stats'!B29</f>
        <v>2003</v>
      </c>
      <c r="B29" s="6" t="str">
        <f>'Detailed Car List + Stats'!C29</f>
        <v>Aston Martin</v>
      </c>
      <c r="C29" s="6" t="str">
        <f>'Detailed Car List + Stats'!D29</f>
        <v>DB7 GT</v>
      </c>
      <c r="D29" s="6" t="str">
        <f>'Detailed Car List + Stats'!E29</f>
        <v>Retro Sports Cars</v>
      </c>
      <c r="E29" s="6" t="s">
        <v>35</v>
      </c>
      <c r="F29" s="6" t="str">
        <f>'Detailed Car List + Stats'!G29</f>
        <v>UK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6.5" customHeight="1">
      <c r="A30" s="6" t="str">
        <f>'Detailed Car List + Stats'!B30</f>
        <v>2019</v>
      </c>
      <c r="B30" s="6" t="str">
        <f>'Detailed Car List + Stats'!C30</f>
        <v>Aston Martin</v>
      </c>
      <c r="C30" s="6" t="str">
        <f>'Detailed Car List + Stats'!D30</f>
        <v>DBS Superleggera</v>
      </c>
      <c r="D30" s="6" t="str">
        <f>'Detailed Car List + Stats'!E30</f>
        <v>Super GT</v>
      </c>
      <c r="E30" s="6" t="s">
        <v>53</v>
      </c>
      <c r="F30" s="6" t="str">
        <f>'Detailed Car List + Stats'!G30</f>
        <v>UK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6.5" customHeight="1">
      <c r="A31" s="6" t="str">
        <f>'Detailed Car List + Stats'!B31</f>
        <v>2021</v>
      </c>
      <c r="B31" s="6" t="str">
        <f>'Detailed Car List + Stats'!C31</f>
        <v>Aston Martin</v>
      </c>
      <c r="C31" s="6" t="str">
        <f>'Detailed Car List + Stats'!D31</f>
        <v>DBX</v>
      </c>
      <c r="D31" s="6" t="str">
        <f>'Detailed Car List + Stats'!E31</f>
        <v>Sports Utility Heroes</v>
      </c>
      <c r="E31" s="6" t="s">
        <v>78</v>
      </c>
      <c r="F31" s="6" t="str">
        <f>'Detailed Car List + Stats'!G31</f>
        <v>UK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6.5" customHeight="1">
      <c r="A32" s="6" t="str">
        <f>'Detailed Car List + Stats'!B32</f>
        <v>2019</v>
      </c>
      <c r="B32" s="6" t="str">
        <f>'Detailed Car List + Stats'!C32</f>
        <v>Aston Martin</v>
      </c>
      <c r="C32" s="6" t="str">
        <f>'Detailed Car List + Stats'!D32</f>
        <v>Valhalla Concept Car</v>
      </c>
      <c r="D32" s="6" t="str">
        <f>'Detailed Car List + Stats'!E32</f>
        <v>Hypercars</v>
      </c>
      <c r="E32" s="6" t="s">
        <v>108</v>
      </c>
      <c r="F32" s="6" t="str">
        <f>'Detailed Car List + Stats'!G32</f>
        <v>UK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6.5" customHeight="1">
      <c r="A33" s="6" t="str">
        <f>'Detailed Car List + Stats'!B33</f>
        <v>2023</v>
      </c>
      <c r="B33" s="6" t="str">
        <f>'Detailed Car List + Stats'!C33</f>
        <v>Aston Martin</v>
      </c>
      <c r="C33" s="6" t="str">
        <f>'Detailed Car List + Stats'!D33</f>
        <v>Valkyrie</v>
      </c>
      <c r="D33" s="6" t="str">
        <f>'Detailed Car List + Stats'!E33</f>
        <v>Hypercars</v>
      </c>
      <c r="E33" s="6" t="s">
        <v>108</v>
      </c>
      <c r="F33" s="6" t="str">
        <f>'Detailed Car List + Stats'!G33</f>
        <v>UK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6.5" customHeight="1">
      <c r="A34" s="6" t="str">
        <f>'Detailed Car List + Stats'!B34</f>
        <v>2022</v>
      </c>
      <c r="B34" s="6" t="str">
        <f>'Detailed Car List + Stats'!C34</f>
        <v>Aston Martin</v>
      </c>
      <c r="C34" s="6" t="str">
        <f>'Detailed Car List + Stats'!D34</f>
        <v>Valkyrie AMR Pro</v>
      </c>
      <c r="D34" s="6" t="str">
        <f>'Detailed Car List + Stats'!E34</f>
        <v>Extreme Track Toys</v>
      </c>
      <c r="E34" s="6" t="s">
        <v>108</v>
      </c>
      <c r="F34" s="6" t="str">
        <f>'Detailed Car List + Stats'!G34</f>
        <v>UK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6.5" customHeight="1">
      <c r="A35" s="6" t="str">
        <f>'Detailed Car List + Stats'!B35</f>
        <v>2019</v>
      </c>
      <c r="B35" s="6" t="str">
        <f>'Detailed Car List + Stats'!C35</f>
        <v>Aston Martin</v>
      </c>
      <c r="C35" s="6" t="str">
        <f>'Detailed Car List + Stats'!D35</f>
        <v>Vantage</v>
      </c>
      <c r="D35" s="6" t="str">
        <f>'Detailed Car List + Stats'!E35</f>
        <v>GT Cars</v>
      </c>
      <c r="E35" s="6" t="s">
        <v>78</v>
      </c>
      <c r="F35" s="6" t="str">
        <f>'Detailed Car List + Stats'!G35</f>
        <v>UK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6.5" customHeight="1">
      <c r="A36" s="6" t="str">
        <f>'Detailed Car List + Stats'!B36</f>
        <v>2016</v>
      </c>
      <c r="B36" s="6" t="str">
        <f>'Detailed Car List + Stats'!C36</f>
        <v>Aston Martin</v>
      </c>
      <c r="C36" s="6" t="str">
        <f>'Detailed Car List + Stats'!D36</f>
        <v>Vulcan</v>
      </c>
      <c r="D36" s="6" t="str">
        <f>'Detailed Car List + Stats'!E36</f>
        <v>Extreme Track Toys</v>
      </c>
      <c r="E36" s="6" t="s">
        <v>138</v>
      </c>
      <c r="F36" s="6" t="str">
        <f>'Detailed Car List + Stats'!G36</f>
        <v>UK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6.5" customHeight="1">
      <c r="A37" s="6" t="str">
        <f>'Detailed Car List + Stats'!B37</f>
        <v>2017</v>
      </c>
      <c r="B37" s="6" t="str">
        <f>'Detailed Car List + Stats'!C37</f>
        <v>Aston Martin</v>
      </c>
      <c r="C37" s="6" t="str">
        <f>'Detailed Car List + Stats'!D37</f>
        <v>Vulcan AMR Pro</v>
      </c>
      <c r="D37" s="6" t="str">
        <f>'Detailed Car List + Stats'!E37</f>
        <v>Extreme Track Toys</v>
      </c>
      <c r="E37" s="6" t="s">
        <v>138</v>
      </c>
      <c r="F37" s="6" t="str">
        <f>'Detailed Car List + Stats'!G37</f>
        <v>UK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6.5" customHeight="1">
      <c r="A38" s="6" t="str">
        <f>'Detailed Car List + Stats'!B38</f>
        <v>1986</v>
      </c>
      <c r="B38" s="6" t="str">
        <f>'Detailed Car List + Stats'!C38</f>
        <v>Audi</v>
      </c>
      <c r="C38" s="6" t="str">
        <f>'Detailed Car List + Stats'!D38</f>
        <v>#2 Audi Sport Quattro S1</v>
      </c>
      <c r="D38" s="6" t="str">
        <f>'Detailed Car List + Stats'!E38</f>
        <v>Rally Monsters</v>
      </c>
      <c r="E38" s="6" t="s">
        <v>53</v>
      </c>
      <c r="F38" s="6" t="str">
        <f>'Detailed Car List + Stats'!G38</f>
        <v>Germany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6.5" customHeight="1">
      <c r="A39" s="6" t="str">
        <f>'Detailed Car List + Stats'!B39</f>
        <v>2023</v>
      </c>
      <c r="B39" s="6" t="str">
        <f>'Detailed Car List + Stats'!C39</f>
        <v>Audi</v>
      </c>
      <c r="C39" s="6" t="str">
        <f>'Detailed Car List + Stats'!D39</f>
        <v>R8 Coupé V10 GT RWD</v>
      </c>
      <c r="D39" s="6" t="str">
        <f>'Detailed Car List + Stats'!E39</f>
        <v>Modern Supercars</v>
      </c>
      <c r="E39" s="6" t="s">
        <v>53</v>
      </c>
      <c r="F39" s="6" t="str">
        <f>'Detailed Car List + Stats'!G39</f>
        <v>Germany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6.5" customHeight="1">
      <c r="A40" s="6" t="str">
        <f>'Detailed Car List + Stats'!B40</f>
        <v>2013</v>
      </c>
      <c r="B40" s="6" t="str">
        <f>'Detailed Car List + Stats'!C40</f>
        <v>Audi</v>
      </c>
      <c r="C40" s="6" t="str">
        <f>'Detailed Car List + Stats'!D40</f>
        <v>R8 Coupé V10 Plus 5.2 FSI Quattro</v>
      </c>
      <c r="D40" s="6" t="str">
        <f>'Detailed Car List + Stats'!E40</f>
        <v>Modern Supercars</v>
      </c>
      <c r="E40" s="6" t="s">
        <v>78</v>
      </c>
      <c r="F40" s="6" t="str">
        <f>'Detailed Car List + Stats'!G40</f>
        <v>Germany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6.5" customHeight="1">
      <c r="A41" s="6" t="str">
        <f>'Detailed Car List + Stats'!B41</f>
        <v>2009</v>
      </c>
      <c r="B41" s="6" t="str">
        <f>'Detailed Car List + Stats'!C41</f>
        <v>Audi</v>
      </c>
      <c r="C41" s="6" t="str">
        <f>'Detailed Car List + Stats'!D41</f>
        <v>R8 LMS</v>
      </c>
      <c r="D41" s="6" t="str">
        <f>'Detailed Car List + Stats'!E41</f>
        <v>Extreme Track Toys</v>
      </c>
      <c r="E41" s="6" t="s">
        <v>138</v>
      </c>
      <c r="F41" s="6" t="str">
        <f>'Detailed Car List + Stats'!G41</f>
        <v>Germany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6.5" customHeight="1">
      <c r="A42" s="6" t="str">
        <f>'Detailed Car List + Stats'!B42</f>
        <v>2020</v>
      </c>
      <c r="B42" s="6" t="str">
        <f>'Detailed Car List + Stats'!C42</f>
        <v>Audi</v>
      </c>
      <c r="C42" s="6" t="str">
        <f>'Detailed Car List + Stats'!D42</f>
        <v>R8 V10 Performance</v>
      </c>
      <c r="D42" s="6" t="str">
        <f>'Detailed Car List + Stats'!E42</f>
        <v>Modern Supercars</v>
      </c>
      <c r="E42" s="6" t="s">
        <v>53</v>
      </c>
      <c r="F42" s="6" t="str">
        <f>'Detailed Car List + Stats'!G42</f>
        <v>Germany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6.5" customHeight="1">
      <c r="A43" s="6" t="str">
        <f>'Detailed Car List + Stats'!B43</f>
        <v>2016</v>
      </c>
      <c r="B43" s="6" t="str">
        <f>'Detailed Car List + Stats'!C43</f>
        <v>Audi</v>
      </c>
      <c r="C43" s="6" t="str">
        <f>'Detailed Car List + Stats'!D43</f>
        <v>R8 V10 Plus</v>
      </c>
      <c r="D43" s="6" t="str">
        <f>'Detailed Car List + Stats'!E43</f>
        <v>Modern Supercars</v>
      </c>
      <c r="E43" s="6" t="s">
        <v>53</v>
      </c>
      <c r="F43" s="6" t="str">
        <f>'Detailed Car List + Stats'!G43</f>
        <v>Germany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6.5" customHeight="1">
      <c r="A44" s="6" t="str">
        <f>'Detailed Car List + Stats'!B44</f>
        <v>2020</v>
      </c>
      <c r="B44" s="6" t="str">
        <f>'Detailed Car List + Stats'!C44</f>
        <v>Audi</v>
      </c>
      <c r="C44" s="6" t="str">
        <f>'Detailed Car List + Stats'!D44</f>
        <v>RS 3 Sedan</v>
      </c>
      <c r="D44" s="6" t="str">
        <f>'Detailed Car List + Stats'!E44</f>
        <v>Modern Super Saloons</v>
      </c>
      <c r="E44" s="6" t="s">
        <v>78</v>
      </c>
      <c r="F44" s="6" t="str">
        <f>'Detailed Car List + Stats'!G44</f>
        <v>Germany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6.5" customHeight="1">
      <c r="A45" s="6" t="str">
        <f>'Detailed Car List + Stats'!B45</f>
        <v>2011</v>
      </c>
      <c r="B45" s="6" t="str">
        <f>'Detailed Car List + Stats'!C45</f>
        <v>Audi</v>
      </c>
      <c r="C45" s="6" t="str">
        <f>'Detailed Car List + Stats'!D45</f>
        <v>RS 3 Sportback</v>
      </c>
      <c r="D45" s="6" t="str">
        <f>'Detailed Car List + Stats'!E45</f>
        <v>Super Hot Hatch</v>
      </c>
      <c r="E45" s="6" t="s">
        <v>35</v>
      </c>
      <c r="F45" s="6" t="str">
        <f>'Detailed Car List + Stats'!G45</f>
        <v>Germany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6.5" customHeight="1">
      <c r="A46" s="6" t="str">
        <f>'Detailed Car List + Stats'!B46</f>
        <v>2006</v>
      </c>
      <c r="B46" s="6" t="str">
        <f>'Detailed Car List + Stats'!C46</f>
        <v>Audi</v>
      </c>
      <c r="C46" s="6" t="str">
        <f>'Detailed Car List + Stats'!D46</f>
        <v>RS 4</v>
      </c>
      <c r="D46" s="6" t="str">
        <f>'Detailed Car List + Stats'!E46</f>
        <v>Modern Super Saloons</v>
      </c>
      <c r="E46" s="6" t="s">
        <v>35</v>
      </c>
      <c r="F46" s="6" t="str">
        <f>'Detailed Car List + Stats'!G46</f>
        <v>Germany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6.5" customHeight="1">
      <c r="A47" s="6" t="str">
        <f>'Detailed Car List + Stats'!B47</f>
        <v>2001</v>
      </c>
      <c r="B47" s="6" t="str">
        <f>'Detailed Car List + Stats'!C47</f>
        <v>Audi</v>
      </c>
      <c r="C47" s="6" t="str">
        <f>'Detailed Car List + Stats'!D47</f>
        <v>RS 4 Avant</v>
      </c>
      <c r="D47" s="6" t="str">
        <f>'Detailed Car List + Stats'!E47</f>
        <v>Retro Super Saloons</v>
      </c>
      <c r="E47" s="6" t="s">
        <v>35</v>
      </c>
      <c r="F47" s="6" t="str">
        <f>'Detailed Car List + Stats'!G47</f>
        <v>Germany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6.5" customHeight="1">
      <c r="A48" s="6" t="str">
        <f>'Detailed Car List + Stats'!B48</f>
        <v>2013</v>
      </c>
      <c r="B48" s="6" t="str">
        <f>'Detailed Car List + Stats'!C48</f>
        <v>Audi</v>
      </c>
      <c r="C48" s="6" t="str">
        <f>'Detailed Car List + Stats'!D48</f>
        <v>RS 4 Avant</v>
      </c>
      <c r="D48" s="6" t="str">
        <f>'Detailed Car List + Stats'!E48</f>
        <v>Modern Super Saloons</v>
      </c>
      <c r="E48" s="6" t="s">
        <v>78</v>
      </c>
      <c r="F48" s="6" t="str">
        <f>'Detailed Car List + Stats'!G48</f>
        <v>Germany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6.5" customHeight="1">
      <c r="A49" s="6" t="str">
        <f>'Detailed Car List + Stats'!B49</f>
        <v>2018</v>
      </c>
      <c r="B49" s="6" t="str">
        <f>'Detailed Car List + Stats'!C49</f>
        <v>Audi</v>
      </c>
      <c r="C49" s="6" t="str">
        <f>'Detailed Car List + Stats'!D49</f>
        <v>RS 4 Avant</v>
      </c>
      <c r="D49" s="6" t="str">
        <f>'Detailed Car List + Stats'!E49</f>
        <v>Modern Super Saloons</v>
      </c>
      <c r="E49" s="6" t="s">
        <v>78</v>
      </c>
      <c r="F49" s="6" t="str">
        <f>'Detailed Car List + Stats'!G49</f>
        <v>Germany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6.5" customHeight="1">
      <c r="A50" s="6" t="str">
        <f>'Detailed Car List + Stats'!B50</f>
        <v>2011</v>
      </c>
      <c r="B50" s="6" t="str">
        <f>'Detailed Car List + Stats'!C50</f>
        <v>Audi</v>
      </c>
      <c r="C50" s="6" t="str">
        <f>'Detailed Car List + Stats'!D50</f>
        <v>RS 5 Coupé</v>
      </c>
      <c r="D50" s="6" t="str">
        <f>'Detailed Car List + Stats'!E50</f>
        <v>Modern Super Saloons</v>
      </c>
      <c r="E50" s="6" t="s">
        <v>78</v>
      </c>
      <c r="F50" s="6" t="str">
        <f>'Detailed Car List + Stats'!G50</f>
        <v>Germany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6.5" customHeight="1">
      <c r="A51" s="6" t="str">
        <f>'Detailed Car List + Stats'!B51</f>
        <v>2003</v>
      </c>
      <c r="B51" s="6" t="str">
        <f>'Detailed Car List + Stats'!C51</f>
        <v>Audi</v>
      </c>
      <c r="C51" s="6" t="str">
        <f>'Detailed Car List + Stats'!D51</f>
        <v>RS 6</v>
      </c>
      <c r="D51" s="6" t="str">
        <f>'Detailed Car List + Stats'!E51</f>
        <v>Retro Super Saloons</v>
      </c>
      <c r="E51" s="6" t="s">
        <v>35</v>
      </c>
      <c r="F51" s="6" t="str">
        <f>'Detailed Car List + Stats'!G51</f>
        <v>Germany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6.5" customHeight="1">
      <c r="A52" s="6" t="str">
        <f>'Detailed Car List + Stats'!B52</f>
        <v>2009</v>
      </c>
      <c r="B52" s="6" t="str">
        <f>'Detailed Car List + Stats'!C52</f>
        <v>Audi</v>
      </c>
      <c r="C52" s="6" t="str">
        <f>'Detailed Car List + Stats'!D52</f>
        <v>RS 6</v>
      </c>
      <c r="D52" s="6" t="str">
        <f>'Detailed Car List + Stats'!E52</f>
        <v>Modern Super Saloons</v>
      </c>
      <c r="E52" s="6" t="s">
        <v>35</v>
      </c>
      <c r="F52" s="6" t="str">
        <f>'Detailed Car List + Stats'!G52</f>
        <v>Germany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6.5" customHeight="1">
      <c r="A53" s="6" t="str">
        <f>'Detailed Car List + Stats'!B53</f>
        <v>2015</v>
      </c>
      <c r="B53" s="6" t="str">
        <f>'Detailed Car List + Stats'!C53</f>
        <v>Audi</v>
      </c>
      <c r="C53" s="6" t="str">
        <f>'Detailed Car List + Stats'!D53</f>
        <v>RS 6 Avant</v>
      </c>
      <c r="D53" s="6" t="str">
        <f>'Detailed Car List + Stats'!E53</f>
        <v>Modern Super Saloons</v>
      </c>
      <c r="E53" s="6" t="s">
        <v>78</v>
      </c>
      <c r="F53" s="6" t="str">
        <f>'Detailed Car List + Stats'!G53</f>
        <v>Germany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6.5" customHeight="1">
      <c r="A54" s="6" t="str">
        <f>'Detailed Car List + Stats'!B54</f>
        <v>2021</v>
      </c>
      <c r="B54" s="6" t="str">
        <f>'Detailed Car List + Stats'!C54</f>
        <v>Audi</v>
      </c>
      <c r="C54" s="6" t="str">
        <f>'Detailed Car List + Stats'!D54</f>
        <v>RS 6 Avant</v>
      </c>
      <c r="D54" s="6" t="str">
        <f>'Detailed Car List + Stats'!E54</f>
        <v>Modern Super Saloons</v>
      </c>
      <c r="E54" s="6" t="s">
        <v>78</v>
      </c>
      <c r="F54" s="6" t="str">
        <f>'Detailed Car List + Stats'!G54</f>
        <v>Germany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6.5" customHeight="1">
      <c r="A55" s="6" t="str">
        <f>'Detailed Car List + Stats'!B55</f>
        <v>2013</v>
      </c>
      <c r="B55" s="6" t="str">
        <f>'Detailed Car List + Stats'!C55</f>
        <v>Audi</v>
      </c>
      <c r="C55" s="6" t="str">
        <f>'Detailed Car List + Stats'!D55</f>
        <v>RS 7 Sportback</v>
      </c>
      <c r="D55" s="6" t="str">
        <f>'Detailed Car List + Stats'!E55</f>
        <v>Modern Super Saloons</v>
      </c>
      <c r="E55" s="6" t="s">
        <v>78</v>
      </c>
      <c r="F55" s="6" t="str">
        <f>'Detailed Car List + Stats'!G55</f>
        <v>Germany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6.5" customHeight="1">
      <c r="A56" s="6" t="str">
        <f>'Detailed Car List + Stats'!B56</f>
        <v>2021</v>
      </c>
      <c r="B56" s="6" t="str">
        <f>'Detailed Car List + Stats'!C56</f>
        <v>Audi</v>
      </c>
      <c r="C56" s="6" t="str">
        <f>'Detailed Car List + Stats'!D56</f>
        <v>RS 7 Sportback</v>
      </c>
      <c r="D56" s="6" t="str">
        <f>'Detailed Car List + Stats'!E56</f>
        <v>Modern Super Saloons</v>
      </c>
      <c r="E56" s="6" t="s">
        <v>78</v>
      </c>
      <c r="F56" s="6" t="str">
        <f>'Detailed Car List + Stats'!G56</f>
        <v>Germany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6.5" customHeight="1">
      <c r="A57" s="6" t="str">
        <f>'Detailed Car List + Stats'!B57</f>
        <v>2021</v>
      </c>
      <c r="B57" s="6" t="str">
        <f>'Detailed Car List + Stats'!C57</f>
        <v>Audi</v>
      </c>
      <c r="C57" s="6" t="str">
        <f>'Detailed Car List + Stats'!D57</f>
        <v>RS e-tron GT</v>
      </c>
      <c r="D57" s="6" t="str">
        <f>'Detailed Car List + Stats'!E57</f>
        <v>Modern Super Saloons</v>
      </c>
      <c r="E57" s="6" t="s">
        <v>78</v>
      </c>
      <c r="F57" s="6" t="str">
        <f>'Detailed Car List + Stats'!G57</f>
        <v>Germany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6.5" customHeight="1">
      <c r="A58" s="6" t="str">
        <f>'Detailed Car List + Stats'!B58</f>
        <v>2015</v>
      </c>
      <c r="B58" s="6" t="str">
        <f>'Detailed Car List + Stats'!C58</f>
        <v>Audi</v>
      </c>
      <c r="C58" s="6" t="str">
        <f>'Detailed Car List + Stats'!D58</f>
        <v>S1</v>
      </c>
      <c r="D58" s="6" t="str">
        <f>'Detailed Car List + Stats'!E58</f>
        <v>Hot Hatch</v>
      </c>
      <c r="E58" s="6" t="s">
        <v>35</v>
      </c>
      <c r="F58" s="6" t="str">
        <f>'Detailed Car List + Stats'!G58</f>
        <v>Germany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6.5" customHeight="1">
      <c r="A59" s="6" t="str">
        <f>'Detailed Car List + Stats'!B59</f>
        <v>1984</v>
      </c>
      <c r="B59" s="6" t="str">
        <f>'Detailed Car List + Stats'!C59</f>
        <v>Audi</v>
      </c>
      <c r="C59" s="6" t="str">
        <f>'Detailed Car List + Stats'!D59</f>
        <v>Sport Quattro</v>
      </c>
      <c r="D59" s="6" t="str">
        <f>'Detailed Car List + Stats'!E59</f>
        <v>Retro Rally</v>
      </c>
      <c r="E59" s="6" t="s">
        <v>35</v>
      </c>
      <c r="F59" s="6" t="str">
        <f>'Detailed Car List + Stats'!G59</f>
        <v>Germany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6.5" customHeight="1">
      <c r="A60" s="6" t="str">
        <f>'Detailed Car List + Stats'!B60</f>
        <v>2010</v>
      </c>
      <c r="B60" s="6" t="str">
        <f>'Detailed Car List + Stats'!C60</f>
        <v>Audi</v>
      </c>
      <c r="C60" s="6" t="str">
        <f>'Detailed Car List + Stats'!D60</f>
        <v>TT RS Coupé</v>
      </c>
      <c r="D60" s="6" t="str">
        <f>'Detailed Car List + Stats'!E60</f>
        <v>Modern Sports Cars</v>
      </c>
      <c r="E60" s="6" t="s">
        <v>35</v>
      </c>
      <c r="F60" s="6" t="str">
        <f>'Detailed Car List + Stats'!G60</f>
        <v>Germany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6.5" customHeight="1">
      <c r="A61" s="6" t="str">
        <f>'Detailed Car List + Stats'!B61</f>
        <v>1965</v>
      </c>
      <c r="B61" s="6" t="str">
        <f>'Detailed Car List + Stats'!C61</f>
        <v>Austin-Healey</v>
      </c>
      <c r="C61" s="6" t="str">
        <f>'Detailed Car List + Stats'!D61</f>
        <v>3000 Mk III</v>
      </c>
      <c r="D61" s="6" t="str">
        <f>'Detailed Car List + Stats'!E61</f>
        <v>Classic Sports Cars</v>
      </c>
      <c r="E61" s="6" t="s">
        <v>31</v>
      </c>
      <c r="F61" s="6" t="str">
        <f>'Detailed Car List + Stats'!G61</f>
        <v>UK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6.5" customHeight="1">
      <c r="A62" s="6" t="str">
        <f>'Detailed Car List + Stats'!B62</f>
        <v>1993</v>
      </c>
      <c r="B62" s="6" t="str">
        <f>'Detailed Car List + Stats'!C62</f>
        <v>Autozam</v>
      </c>
      <c r="C62" s="6" t="str">
        <f>'Detailed Car List + Stats'!D62</f>
        <v>AZ-1</v>
      </c>
      <c r="D62" s="6" t="str">
        <f>'Detailed Car List + Stats'!E62</f>
        <v>Eclectic Domestics</v>
      </c>
      <c r="E62" s="6" t="s">
        <v>31</v>
      </c>
      <c r="F62" s="6" t="str">
        <f>'Detailed Car List + Stats'!G62</f>
        <v>Japan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6.5" customHeight="1">
      <c r="A63" s="6" t="str">
        <f>'Detailed Car List + Stats'!B63</f>
        <v>2014</v>
      </c>
      <c r="B63" s="6" t="str">
        <f>'Detailed Car List + Stats'!C63</f>
        <v>BAC</v>
      </c>
      <c r="C63" s="6" t="str">
        <f>'Detailed Car List + Stats'!D63</f>
        <v>Mono</v>
      </c>
      <c r="D63" s="6" t="str">
        <f>'Detailed Car List + Stats'!E63</f>
        <v>Track Toys</v>
      </c>
      <c r="E63" s="6" t="s">
        <v>53</v>
      </c>
      <c r="F63" s="6" t="str">
        <f>'Detailed Car List + Stats'!G63</f>
        <v>UK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6.5" customHeight="1">
      <c r="A64" s="6" t="str">
        <f>'Detailed Car List + Stats'!B64</f>
        <v>2016</v>
      </c>
      <c r="B64" s="6" t="str">
        <f>'Detailed Car List + Stats'!C64</f>
        <v>Bentley</v>
      </c>
      <c r="C64" s="6" t="str">
        <f>'Detailed Car List + Stats'!D64</f>
        <v>Bentayga</v>
      </c>
      <c r="D64" s="6" t="str">
        <f>'Detailed Car List + Stats'!E64</f>
        <v>Sports Utility Heroes</v>
      </c>
      <c r="E64" s="6" t="s">
        <v>78</v>
      </c>
      <c r="F64" s="6" t="str">
        <f>'Detailed Car List + Stats'!G64</f>
        <v>UK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6.5" customHeight="1">
      <c r="A65" s="6" t="str">
        <f>'Detailed Car List + Stats'!B65</f>
        <v>2021</v>
      </c>
      <c r="B65" s="6" t="str">
        <f>'Detailed Car List + Stats'!C65</f>
        <v>Bentley</v>
      </c>
      <c r="C65" s="6" t="str">
        <f>'Detailed Car List + Stats'!D65</f>
        <v>Continental GT Convertible</v>
      </c>
      <c r="D65" s="6" t="str">
        <f>'Detailed Car List + Stats'!E65</f>
        <v>GT Cars</v>
      </c>
      <c r="E65" s="6" t="s">
        <v>78</v>
      </c>
      <c r="F65" s="6" t="str">
        <f>'Detailed Car List + Stats'!G65</f>
        <v>UK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6.5" customHeight="1">
      <c r="A66" s="6" t="str">
        <f>'Detailed Car List + Stats'!B66</f>
        <v>1973</v>
      </c>
      <c r="B66" s="6" t="str">
        <f>'Detailed Car List + Stats'!C66</f>
        <v>BMW</v>
      </c>
      <c r="C66" s="6" t="str">
        <f>'Detailed Car List + Stats'!D66</f>
        <v>2002 Turbo</v>
      </c>
      <c r="D66" s="6" t="str">
        <f>'Detailed Car List + Stats'!E66</f>
        <v>Classic Sports Cars</v>
      </c>
      <c r="E66" s="6" t="s">
        <v>28</v>
      </c>
      <c r="F66" s="6" t="str">
        <f>'Detailed Car List + Stats'!G66</f>
        <v>Germany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6.5" customHeight="1">
      <c r="A67" s="6" t="str">
        <f>'Detailed Car List + Stats'!B67</f>
        <v>1995</v>
      </c>
      <c r="B67" s="6" t="str">
        <f>'Detailed Car List + Stats'!C67</f>
        <v>BMW</v>
      </c>
      <c r="C67" s="6" t="str">
        <f>'Detailed Car List + Stats'!D67</f>
        <v>850CSi</v>
      </c>
      <c r="D67" s="6" t="str">
        <f>'Detailed Car List + Stats'!E67</f>
        <v>Retro Sports Cars</v>
      </c>
      <c r="E67" s="6" t="s">
        <v>28</v>
      </c>
      <c r="F67" s="6" t="str">
        <f>'Detailed Car List + Stats'!G67</f>
        <v>Germany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6.5" customHeight="1">
      <c r="A68" s="6" t="str">
        <f>'Detailed Car List + Stats'!B68</f>
        <v>2015</v>
      </c>
      <c r="B68" s="6" t="str">
        <f>'Detailed Car List + Stats'!C68</f>
        <v>BMW</v>
      </c>
      <c r="C68" s="6" t="str">
        <f>'Detailed Car List + Stats'!D68</f>
        <v>i8</v>
      </c>
      <c r="D68" s="6" t="str">
        <f>'Detailed Car List + Stats'!E68</f>
        <v>Modern Sports Cars</v>
      </c>
      <c r="E68" s="6" t="s">
        <v>78</v>
      </c>
      <c r="F68" s="6" t="str">
        <f>'Detailed Car List + Stats'!G68</f>
        <v>Germany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6.5" customHeight="1">
      <c r="A69" s="6" t="str">
        <f>'Detailed Car List + Stats'!B69</f>
        <v>1957</v>
      </c>
      <c r="B69" s="6" t="str">
        <f>'Detailed Car List + Stats'!C69</f>
        <v>BMW</v>
      </c>
      <c r="C69" s="6" t="str">
        <f>'Detailed Car List + Stats'!D69</f>
        <v>Isetta 300 Export</v>
      </c>
      <c r="D69" s="6" t="str">
        <f>'Detailed Car List + Stats'!E69</f>
        <v>Cult Cars</v>
      </c>
      <c r="E69" s="6" t="s">
        <v>31</v>
      </c>
      <c r="F69" s="6" t="str">
        <f>'Detailed Car List + Stats'!G69</f>
        <v>Germany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6.5" customHeight="1">
      <c r="A70" s="6" t="str">
        <f>'Detailed Car List + Stats'!B70</f>
        <v>2022</v>
      </c>
      <c r="B70" s="6" t="str">
        <f>'Detailed Car List + Stats'!C70</f>
        <v>BMW</v>
      </c>
      <c r="C70" s="6" t="str">
        <f>'Detailed Car List + Stats'!D70</f>
        <v>iX xDrive50</v>
      </c>
      <c r="D70" s="6" t="str">
        <f>'Detailed Car List + Stats'!E70</f>
        <v>Sports Utility Heroes</v>
      </c>
      <c r="E70" s="6" t="s">
        <v>35</v>
      </c>
      <c r="F70" s="6" t="str">
        <f>'Detailed Car List + Stats'!G70</f>
        <v>Germany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6.5" customHeight="1">
      <c r="A71" s="6" t="str">
        <f>'Detailed Car List + Stats'!B71</f>
        <v>1981</v>
      </c>
      <c r="B71" s="6" t="str">
        <f>'Detailed Car List + Stats'!C71</f>
        <v>BMW</v>
      </c>
      <c r="C71" s="6" t="str">
        <f>'Detailed Car List + Stats'!D71</f>
        <v>M1</v>
      </c>
      <c r="D71" s="6" t="str">
        <f>'Detailed Car List + Stats'!E71</f>
        <v>Retro Supercars</v>
      </c>
      <c r="E71" s="6" t="s">
        <v>35</v>
      </c>
      <c r="F71" s="6" t="str">
        <f>'Detailed Car List + Stats'!G71</f>
        <v>Germany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6.5" customHeight="1">
      <c r="A72" s="6" t="str">
        <f>'Detailed Car List + Stats'!B72</f>
        <v>2023</v>
      </c>
      <c r="B72" s="6" t="str">
        <f>'Detailed Car List + Stats'!C72</f>
        <v>BMW</v>
      </c>
      <c r="C72" s="6" t="str">
        <f>'Detailed Car List + Stats'!D72</f>
        <v>M2</v>
      </c>
      <c r="D72" s="6" t="str">
        <f>'Detailed Car List + Stats'!E72</f>
        <v>Modern Super Saloons</v>
      </c>
      <c r="E72" s="6" t="s">
        <v>78</v>
      </c>
      <c r="F72" s="6" t="str">
        <f>'Detailed Car List + Stats'!G72</f>
        <v>Germany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6.5" customHeight="1">
      <c r="A73" s="6" t="str">
        <f>'Detailed Car List + Stats'!B73</f>
        <v>2020</v>
      </c>
      <c r="B73" s="6" t="str">
        <f>'Detailed Car List + Stats'!C73</f>
        <v>BMW</v>
      </c>
      <c r="C73" s="6" t="str">
        <f>'Detailed Car List + Stats'!D73</f>
        <v>M2 Competition Coupé</v>
      </c>
      <c r="D73" s="6" t="str">
        <f>'Detailed Car List + Stats'!E73</f>
        <v>Modern Super Saloons</v>
      </c>
      <c r="E73" s="6" t="s">
        <v>78</v>
      </c>
      <c r="F73" s="6" t="str">
        <f>'Detailed Car List + Stats'!G73</f>
        <v>Germany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6.5" customHeight="1">
      <c r="A74" s="6" t="str">
        <f>'Detailed Car List + Stats'!B74</f>
        <v>2023</v>
      </c>
      <c r="B74" s="6" t="str">
        <f>'Detailed Car List + Stats'!C74</f>
        <v>BMW</v>
      </c>
      <c r="C74" s="6" t="str">
        <f>'Detailed Car List + Stats'!D74</f>
        <v>M2 Forza Edition</v>
      </c>
      <c r="D74" s="6" t="str">
        <f>'Detailed Car List + Stats'!E74</f>
        <v>Track Toys</v>
      </c>
      <c r="E74" s="6" t="s">
        <v>78</v>
      </c>
      <c r="F74" s="6" t="str">
        <f>'Detailed Car List + Stats'!G74</f>
        <v>Germany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6.5" customHeight="1">
      <c r="A75" s="6" t="str">
        <f>'Detailed Car List + Stats'!B75</f>
        <v>1988</v>
      </c>
      <c r="B75" s="6" t="str">
        <f>'Detailed Car List + Stats'!C75</f>
        <v>BMW</v>
      </c>
      <c r="C75" s="6" t="str">
        <f>'Detailed Car List + Stats'!D75</f>
        <v>M3</v>
      </c>
      <c r="D75" s="6" t="str">
        <f>'Detailed Car List + Stats'!E75</f>
        <v>Retro Super Saloons</v>
      </c>
      <c r="E75" s="6" t="s">
        <v>28</v>
      </c>
      <c r="F75" s="6" t="str">
        <f>'Detailed Car List + Stats'!G75</f>
        <v>Germany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6.5" customHeight="1">
      <c r="A76" s="6" t="str">
        <f>'Detailed Car List + Stats'!B76</f>
        <v>1997</v>
      </c>
      <c r="B76" s="6" t="str">
        <f>'Detailed Car List + Stats'!C76</f>
        <v>BMW</v>
      </c>
      <c r="C76" s="6" t="str">
        <f>'Detailed Car List + Stats'!D76</f>
        <v>M3</v>
      </c>
      <c r="D76" s="6" t="str">
        <f>'Detailed Car List + Stats'!E76</f>
        <v>Retro Super Saloons</v>
      </c>
      <c r="E76" s="6" t="s">
        <v>35</v>
      </c>
      <c r="F76" s="6" t="str">
        <f>'Detailed Car List + Stats'!G76</f>
        <v>Germany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6.5" customHeight="1">
      <c r="A77" s="6" t="str">
        <f>'Detailed Car List + Stats'!B77</f>
        <v>2005</v>
      </c>
      <c r="B77" s="6" t="str">
        <f>'Detailed Car List + Stats'!C77</f>
        <v>BMW</v>
      </c>
      <c r="C77" s="6" t="str">
        <f>'Detailed Car List + Stats'!D77</f>
        <v>M3</v>
      </c>
      <c r="D77" s="6" t="str">
        <f>'Detailed Car List + Stats'!E77</f>
        <v>Retro Super Saloons</v>
      </c>
      <c r="E77" s="6" t="s">
        <v>35</v>
      </c>
      <c r="F77" s="6" t="str">
        <f>'Detailed Car List + Stats'!G77</f>
        <v>Germany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6.5" customHeight="1">
      <c r="A78" s="6" t="str">
        <f>'Detailed Car List + Stats'!B78</f>
        <v>2008</v>
      </c>
      <c r="B78" s="6" t="str">
        <f>'Detailed Car List + Stats'!C78</f>
        <v>BMW</v>
      </c>
      <c r="C78" s="6" t="str">
        <f>'Detailed Car List + Stats'!D78</f>
        <v>M3</v>
      </c>
      <c r="D78" s="6" t="str">
        <f>'Detailed Car List + Stats'!E78</f>
        <v>Modern Super Saloons</v>
      </c>
      <c r="E78" s="6" t="s">
        <v>78</v>
      </c>
      <c r="F78" s="6" t="str">
        <f>'Detailed Car List + Stats'!G78</f>
        <v>Germany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6.5" customHeight="1">
      <c r="A79" s="6" t="str">
        <f>'Detailed Car List + Stats'!B79</f>
        <v>2010</v>
      </c>
      <c r="B79" s="6" t="str">
        <f>'Detailed Car List + Stats'!C79</f>
        <v>BMW</v>
      </c>
      <c r="C79" s="6" t="str">
        <f>'Detailed Car List + Stats'!D79</f>
        <v>M3 GTS</v>
      </c>
      <c r="D79" s="6" t="str">
        <f>'Detailed Car List + Stats'!E79</f>
        <v>Track Toys</v>
      </c>
      <c r="E79" s="6" t="s">
        <v>78</v>
      </c>
      <c r="F79" s="6" t="str">
        <f>'Detailed Car List + Stats'!G79</f>
        <v>Germany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6.5" customHeight="1">
      <c r="A80" s="6" t="str">
        <f>'Detailed Car List + Stats'!B80</f>
        <v>2021</v>
      </c>
      <c r="B80" s="6" t="str">
        <f>'Detailed Car List + Stats'!C80</f>
        <v>BMW</v>
      </c>
      <c r="C80" s="6" t="str">
        <f>'Detailed Car List + Stats'!D80</f>
        <v>M4 Competition Coupé</v>
      </c>
      <c r="D80" s="6" t="str">
        <f>'Detailed Car List + Stats'!E80</f>
        <v>Modern Super Saloons</v>
      </c>
      <c r="E80" s="6" t="s">
        <v>78</v>
      </c>
      <c r="F80" s="6" t="str">
        <f>'Detailed Car List + Stats'!G80</f>
        <v>Germany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6.5" customHeight="1">
      <c r="A81" s="6" t="str">
        <f>'Detailed Car List + Stats'!B81</f>
        <v>2021</v>
      </c>
      <c r="B81" s="6" t="str">
        <f>'Detailed Car List + Stats'!C81</f>
        <v>BMW</v>
      </c>
      <c r="C81" s="6" t="str">
        <f>'Detailed Car List + Stats'!D81</f>
        <v>M4 Competition Coupé Welcome Pack</v>
      </c>
      <c r="D81" s="6" t="str">
        <f>'Detailed Car List + Stats'!E81</f>
        <v>Modern Super Saloons</v>
      </c>
      <c r="E81" s="6" t="s">
        <v>53</v>
      </c>
      <c r="F81" s="6" t="str">
        <f>'Detailed Car List + Stats'!G81</f>
        <v>Germany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6.5" customHeight="1">
      <c r="A82" s="6" t="str">
        <f>'Detailed Car List + Stats'!B82</f>
        <v>2014</v>
      </c>
      <c r="B82" s="6" t="str">
        <f>'Detailed Car List + Stats'!C82</f>
        <v>BMW</v>
      </c>
      <c r="C82" s="6" t="str">
        <f>'Detailed Car List + Stats'!D82</f>
        <v>M4 Coupé</v>
      </c>
      <c r="D82" s="6" t="str">
        <f>'Detailed Car List + Stats'!E82</f>
        <v>Modern Super Saloons</v>
      </c>
      <c r="E82" s="6" t="s">
        <v>78</v>
      </c>
      <c r="F82" s="6" t="str">
        <f>'Detailed Car List + Stats'!G82</f>
        <v>Germany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6.5" customHeight="1">
      <c r="A83" s="6" t="str">
        <f>'Detailed Car List + Stats'!B83</f>
        <v>2016</v>
      </c>
      <c r="B83" s="6" t="str">
        <f>'Detailed Car List + Stats'!C83</f>
        <v>BMW</v>
      </c>
      <c r="C83" s="6" t="str">
        <f>'Detailed Car List + Stats'!D83</f>
        <v>M4 GTS</v>
      </c>
      <c r="D83" s="6" t="str">
        <f>'Detailed Car List + Stats'!E83</f>
        <v>Track Toys</v>
      </c>
      <c r="E83" s="6" t="s">
        <v>53</v>
      </c>
      <c r="F83" s="6" t="str">
        <f>'Detailed Car List + Stats'!G83</f>
        <v>Germany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6.5" customHeight="1">
      <c r="A84" s="6" t="str">
        <f>'Detailed Car List + Stats'!B84</f>
        <v>1988</v>
      </c>
      <c r="B84" s="6" t="str">
        <f>'Detailed Car List + Stats'!C84</f>
        <v>BMW</v>
      </c>
      <c r="C84" s="6" t="str">
        <f>'Detailed Car List + Stats'!D84</f>
        <v>M5</v>
      </c>
      <c r="D84" s="6" t="str">
        <f>'Detailed Car List + Stats'!E84</f>
        <v>Retro Super Saloons</v>
      </c>
      <c r="E84" s="6" t="s">
        <v>28</v>
      </c>
      <c r="F84" s="6" t="str">
        <f>'Detailed Car List + Stats'!G84</f>
        <v>Germany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6.5" customHeight="1">
      <c r="A85" s="6" t="str">
        <f>'Detailed Car List + Stats'!B85</f>
        <v>1995</v>
      </c>
      <c r="B85" s="6" t="str">
        <f>'Detailed Car List + Stats'!C85</f>
        <v>BMW</v>
      </c>
      <c r="C85" s="6" t="str">
        <f>'Detailed Car List + Stats'!D85</f>
        <v>M5</v>
      </c>
      <c r="D85" s="6" t="str">
        <f>'Detailed Car List + Stats'!E85</f>
        <v>Retro Super Saloons</v>
      </c>
      <c r="E85" s="6" t="s">
        <v>35</v>
      </c>
      <c r="F85" s="6" t="str">
        <f>'Detailed Car List + Stats'!G85</f>
        <v>Germany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6.5" customHeight="1">
      <c r="A86" s="6" t="str">
        <f>'Detailed Car List + Stats'!B86</f>
        <v>2003</v>
      </c>
      <c r="B86" s="6" t="str">
        <f>'Detailed Car List + Stats'!C86</f>
        <v>BMW</v>
      </c>
      <c r="C86" s="6" t="str">
        <f>'Detailed Car List + Stats'!D86</f>
        <v>M5</v>
      </c>
      <c r="D86" s="6" t="str">
        <f>'Detailed Car List + Stats'!E86</f>
        <v>Retro Super Saloons</v>
      </c>
      <c r="E86" s="6" t="s">
        <v>35</v>
      </c>
      <c r="F86" s="6" t="str">
        <f>'Detailed Car List + Stats'!G86</f>
        <v>Germany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6.5" customHeight="1">
      <c r="A87" s="6" t="str">
        <f>'Detailed Car List + Stats'!B87</f>
        <v>2009</v>
      </c>
      <c r="B87" s="6" t="str">
        <f>'Detailed Car List + Stats'!C87</f>
        <v>BMW</v>
      </c>
      <c r="C87" s="6" t="str">
        <f>'Detailed Car List + Stats'!D87</f>
        <v>M5</v>
      </c>
      <c r="D87" s="6" t="str">
        <f>'Detailed Car List + Stats'!E87</f>
        <v>Modern Super Saloons</v>
      </c>
      <c r="E87" s="6" t="s">
        <v>35</v>
      </c>
      <c r="F87" s="6" t="str">
        <f>'Detailed Car List + Stats'!G87</f>
        <v>Germany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6.5" customHeight="1">
      <c r="A88" s="6" t="str">
        <f>'Detailed Car List + Stats'!B88</f>
        <v>2012</v>
      </c>
      <c r="B88" s="6" t="str">
        <f>'Detailed Car List + Stats'!C88</f>
        <v>BMW</v>
      </c>
      <c r="C88" s="6" t="str">
        <f>'Detailed Car List + Stats'!D88</f>
        <v>M5</v>
      </c>
      <c r="D88" s="6" t="str">
        <f>'Detailed Car List + Stats'!E88</f>
        <v>Modern Super Saloons</v>
      </c>
      <c r="E88" s="6" t="s">
        <v>78</v>
      </c>
      <c r="F88" s="6" t="str">
        <f>'Detailed Car List + Stats'!G88</f>
        <v>Germany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6.5" customHeight="1">
      <c r="A89" s="6" t="str">
        <f>'Detailed Car List + Stats'!B89</f>
        <v>2022</v>
      </c>
      <c r="B89" s="6" t="str">
        <f>'Detailed Car List + Stats'!C89</f>
        <v>BMW</v>
      </c>
      <c r="C89" s="6" t="str">
        <f>'Detailed Car List + Stats'!D89</f>
        <v>M5 CS</v>
      </c>
      <c r="D89" s="6" t="str">
        <f>'Detailed Car List + Stats'!E89</f>
        <v>Modern Super Saloons</v>
      </c>
      <c r="E89" s="6" t="s">
        <v>53</v>
      </c>
      <c r="F89" s="6" t="str">
        <f>'Detailed Car List + Stats'!G89</f>
        <v>Germany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6.5" customHeight="1">
      <c r="A90" s="6" t="str">
        <f>'Detailed Car List + Stats'!B90</f>
        <v>2020</v>
      </c>
      <c r="B90" s="6" t="str">
        <f>'Detailed Car List + Stats'!C90</f>
        <v>BMW</v>
      </c>
      <c r="C90" s="6" t="str">
        <f>'Detailed Car List + Stats'!D90</f>
        <v>M8 Competition Coupé</v>
      </c>
      <c r="D90" s="6" t="str">
        <f>'Detailed Car List + Stats'!E90</f>
        <v>GT Cars</v>
      </c>
      <c r="E90" s="6" t="s">
        <v>78</v>
      </c>
      <c r="F90" s="6" t="str">
        <f>'Detailed Car List + Stats'!G90</f>
        <v>Germany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6.5" customHeight="1">
      <c r="A91" s="6" t="str">
        <f>'Detailed Car List + Stats'!B91</f>
        <v>2011</v>
      </c>
      <c r="B91" s="6" t="str">
        <f>'Detailed Car List + Stats'!C91</f>
        <v>BMW</v>
      </c>
      <c r="C91" s="6" t="str">
        <f>'Detailed Car List + Stats'!D91</f>
        <v>X5 M</v>
      </c>
      <c r="D91" s="6" t="str">
        <f>'Detailed Car List + Stats'!E91</f>
        <v>Sports Utility Heroes</v>
      </c>
      <c r="E91" s="6" t="s">
        <v>35</v>
      </c>
      <c r="F91" s="6" t="str">
        <f>'Detailed Car List + Stats'!G91</f>
        <v>Germany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6.5" customHeight="1">
      <c r="A92" s="6" t="str">
        <f>'Detailed Car List + Stats'!B92</f>
        <v>2024</v>
      </c>
      <c r="B92" s="6" t="str">
        <f>'Detailed Car List + Stats'!C92</f>
        <v>BMW</v>
      </c>
      <c r="C92" s="6" t="str">
        <f>'Detailed Car List + Stats'!D92</f>
        <v>X6 M Competition</v>
      </c>
      <c r="D92" s="6" t="str">
        <f>'Detailed Car List + Stats'!E92</f>
        <v>Sports Utility Heroes</v>
      </c>
      <c r="E92" s="6" t="s">
        <v>78</v>
      </c>
      <c r="F92" s="6" t="str">
        <f>'Detailed Car List + Stats'!G92</f>
        <v>Germany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6.5" customHeight="1">
      <c r="A93" s="6" t="str">
        <f>'Detailed Car List + Stats'!B93</f>
        <v>2008</v>
      </c>
      <c r="B93" s="6" t="str">
        <f>'Detailed Car List + Stats'!C93</f>
        <v>BMW</v>
      </c>
      <c r="C93" s="6" t="str">
        <f>'Detailed Car List + Stats'!D93</f>
        <v>Z4 M Coupé</v>
      </c>
      <c r="D93" s="6" t="str">
        <f>'Detailed Car List + Stats'!E93</f>
        <v>Modern Sports Cars</v>
      </c>
      <c r="E93" s="6" t="s">
        <v>35</v>
      </c>
      <c r="F93" s="6" t="str">
        <f>'Detailed Car List + Stats'!G93</f>
        <v>Germany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6.5" customHeight="1">
      <c r="A94" s="6" t="str">
        <f>'Detailed Car List + Stats'!B94</f>
        <v>2019</v>
      </c>
      <c r="B94" s="6" t="str">
        <f>'Detailed Car List + Stats'!C94</f>
        <v>BMW</v>
      </c>
      <c r="C94" s="6" t="str">
        <f>'Detailed Car List + Stats'!D94</f>
        <v>Z4 Roadster</v>
      </c>
      <c r="D94" s="6" t="str">
        <f>'Detailed Car List + Stats'!E94</f>
        <v>Modern Sports Cars</v>
      </c>
      <c r="E94" s="6" t="s">
        <v>78</v>
      </c>
      <c r="F94" s="6" t="str">
        <f>'Detailed Car List + Stats'!G94</f>
        <v>Germany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6.5" customHeight="1">
      <c r="A95" s="6" t="str">
        <f>'Detailed Car List + Stats'!B95</f>
        <v>1987</v>
      </c>
      <c r="B95" s="6" t="str">
        <f>'Detailed Car List + Stats'!C95</f>
        <v>Buick</v>
      </c>
      <c r="C95" s="6" t="str">
        <f>'Detailed Car List + Stats'!D95</f>
        <v>Regal GNX</v>
      </c>
      <c r="D95" s="6" t="str">
        <f>'Detailed Car List + Stats'!E95</f>
        <v>Retro Muscle</v>
      </c>
      <c r="E95" s="6" t="s">
        <v>28</v>
      </c>
      <c r="F95" s="6" t="str">
        <f>'Detailed Car List + Stats'!G95</f>
        <v>USA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6.5" customHeight="1">
      <c r="A96" s="6" t="str">
        <f>'Detailed Car List + Stats'!B96</f>
        <v>2016</v>
      </c>
      <c r="B96" s="6" t="str">
        <f>'Detailed Car List + Stats'!C96</f>
        <v>Cadillac</v>
      </c>
      <c r="C96" s="6" t="str">
        <f>'Detailed Car List + Stats'!D96</f>
        <v>ATS-V</v>
      </c>
      <c r="D96" s="6" t="str">
        <f>'Detailed Car List + Stats'!E96</f>
        <v>Modern Muscle</v>
      </c>
      <c r="E96" s="6" t="s">
        <v>78</v>
      </c>
      <c r="F96" s="6" t="str">
        <f>'Detailed Car List + Stats'!G96</f>
        <v>USA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6.5" customHeight="1">
      <c r="A97" s="6" t="str">
        <f>'Detailed Car List + Stats'!B97</f>
        <v>2022</v>
      </c>
      <c r="B97" s="6" t="str">
        <f>'Detailed Car List + Stats'!C97</f>
        <v>Cadillac</v>
      </c>
      <c r="C97" s="6" t="str">
        <f>'Detailed Car List + Stats'!D97</f>
        <v>CT4-V Blackwing</v>
      </c>
      <c r="D97" s="6" t="str">
        <f>'Detailed Car List + Stats'!E97</f>
        <v>Modern Muscle</v>
      </c>
      <c r="E97" s="6" t="s">
        <v>78</v>
      </c>
      <c r="F97" s="6" t="str">
        <f>'Detailed Car List + Stats'!G97</f>
        <v>USA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6.5" customHeight="1">
      <c r="A98" s="6" t="str">
        <f>'Detailed Car List + Stats'!B98</f>
        <v>2022</v>
      </c>
      <c r="B98" s="6" t="str">
        <f>'Detailed Car List + Stats'!C98</f>
        <v>Cadillac</v>
      </c>
      <c r="C98" s="6" t="str">
        <f>'Detailed Car List + Stats'!D98</f>
        <v>CT5-V Blackwing</v>
      </c>
      <c r="D98" s="6" t="str">
        <f>'Detailed Car List + Stats'!E98</f>
        <v>Modern Muscle</v>
      </c>
      <c r="E98" s="6" t="s">
        <v>53</v>
      </c>
      <c r="F98" s="6" t="str">
        <f>'Detailed Car List + Stats'!G98</f>
        <v>USA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6.5" customHeight="1">
      <c r="A99" s="6" t="str">
        <f>'Detailed Car List + Stats'!B99</f>
        <v>2016</v>
      </c>
      <c r="B99" s="6" t="str">
        <f>'Detailed Car List + Stats'!C99</f>
        <v>Cadillac</v>
      </c>
      <c r="C99" s="6" t="str">
        <f>'Detailed Car List + Stats'!D99</f>
        <v>CTS-V Sedan</v>
      </c>
      <c r="D99" s="6" t="str">
        <f>'Detailed Car List + Stats'!E99</f>
        <v>Modern Muscle</v>
      </c>
      <c r="E99" s="6" t="s">
        <v>78</v>
      </c>
      <c r="F99" s="6" t="str">
        <f>'Detailed Car List + Stats'!G99</f>
        <v>USA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6.5" customHeight="1">
      <c r="A100" s="6" t="str">
        <f>'Detailed Car List + Stats'!B100</f>
        <v>2013</v>
      </c>
      <c r="B100" s="6" t="str">
        <f>'Detailed Car List + Stats'!C100</f>
        <v>Cadillac</v>
      </c>
      <c r="C100" s="6" t="str">
        <f>'Detailed Car List + Stats'!D100</f>
        <v>XTS Limousine</v>
      </c>
      <c r="D100" s="6" t="str">
        <f>'Detailed Car List + Stats'!E100</f>
        <v>Modern Super Saloons</v>
      </c>
      <c r="E100" s="6" t="s">
        <v>31</v>
      </c>
      <c r="F100" s="6" t="str">
        <f>'Detailed Car List + Stats'!G100</f>
        <v>USA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6.5" customHeight="1">
      <c r="A101" s="6" t="str">
        <f>'Detailed Car List + Stats'!B101</f>
        <v>2018</v>
      </c>
      <c r="B101" s="6" t="str">
        <f>'Detailed Car List + Stats'!C101</f>
        <v>Can-Am</v>
      </c>
      <c r="C101" s="6" t="str">
        <f>'Detailed Car List + Stats'!D101</f>
        <v>Maverick X RS Turbo R</v>
      </c>
      <c r="D101" s="6" t="str">
        <f>'Detailed Car List + Stats'!E101</f>
        <v>UTVs</v>
      </c>
      <c r="E101" s="6" t="s">
        <v>35</v>
      </c>
      <c r="F101" s="6" t="str">
        <f>'Detailed Car List + Stats'!G101</f>
        <v>Canada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6.5" customHeight="1">
      <c r="A102" s="6" t="str">
        <f>'Detailed Car List + Stats'!B102</f>
        <v>2019</v>
      </c>
      <c r="B102" s="6" t="str">
        <f>'Detailed Car List + Stats'!C102</f>
        <v>Casey Currie Motorsports</v>
      </c>
      <c r="C102" s="6" t="str">
        <f>'Detailed Car List + Stats'!D102</f>
        <v>#4402 Ultra 4 'Trophy Jeep'</v>
      </c>
      <c r="D102" s="6" t="str">
        <f>'Detailed Car List + Stats'!E102</f>
        <v>Unlimited Offroad</v>
      </c>
      <c r="E102" s="6" t="s">
        <v>78</v>
      </c>
      <c r="F102" s="6" t="str">
        <f>'Detailed Car List + Stats'!G102</f>
        <v>USA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6.5" customHeight="1">
      <c r="A103" s="6" t="str">
        <f>'Detailed Car List + Stats'!B103</f>
        <v>1955</v>
      </c>
      <c r="B103" s="6" t="str">
        <f>'Detailed Car List + Stats'!C103</f>
        <v>Chevrolet</v>
      </c>
      <c r="C103" s="6" t="str">
        <f>'Detailed Car List + Stats'!D103</f>
        <v>150 Utility Sedan</v>
      </c>
      <c r="D103" s="6" t="str">
        <f>'Detailed Car List + Stats'!E103</f>
        <v>Rods &amp; Customs</v>
      </c>
      <c r="E103" s="6" t="s">
        <v>31</v>
      </c>
      <c r="F103" s="6" t="str">
        <f>'Detailed Car List + Stats'!G103</f>
        <v>USA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6.5" customHeight="1">
      <c r="A104" s="6" t="str">
        <f>'Detailed Car List + Stats'!B104</f>
        <v>1957</v>
      </c>
      <c r="B104" s="6" t="str">
        <f>'Detailed Car List + Stats'!C104</f>
        <v>Chevrolet</v>
      </c>
      <c r="C104" s="6" t="str">
        <f>'Detailed Car List + Stats'!D104</f>
        <v>Bel Air</v>
      </c>
      <c r="D104" s="6" t="str">
        <f>'Detailed Car List + Stats'!E104</f>
        <v>Rods &amp; Customs</v>
      </c>
      <c r="E104" s="6" t="s">
        <v>31</v>
      </c>
      <c r="F104" s="6" t="str">
        <f>'Detailed Car List + Stats'!G104</f>
        <v>USA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6.5" customHeight="1">
      <c r="A105" s="6" t="str">
        <f>'Detailed Car List + Stats'!B105</f>
        <v>1969</v>
      </c>
      <c r="B105" s="6" t="str">
        <f>'Detailed Car List + Stats'!C105</f>
        <v>Chevrolet</v>
      </c>
      <c r="C105" s="6" t="str">
        <f>'Detailed Car List + Stats'!D105</f>
        <v>Camaro Super Sport Coupe</v>
      </c>
      <c r="D105" s="6" t="str">
        <f>'Detailed Car List + Stats'!E105</f>
        <v>Classic Muscle</v>
      </c>
      <c r="E105" s="6" t="s">
        <v>28</v>
      </c>
      <c r="F105" s="6" t="str">
        <f>'Detailed Car List + Stats'!G105</f>
        <v>USA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6.5" customHeight="1">
      <c r="A106" s="6" t="str">
        <f>'Detailed Car List + Stats'!B106</f>
        <v>2015</v>
      </c>
      <c r="B106" s="6" t="str">
        <f>'Detailed Car List + Stats'!C106</f>
        <v>Chevrolet</v>
      </c>
      <c r="C106" s="6" t="str">
        <f>'Detailed Car List + Stats'!D106</f>
        <v>Camaro Z/28</v>
      </c>
      <c r="D106" s="6" t="str">
        <f>'Detailed Car List + Stats'!E106</f>
        <v>Track Toys</v>
      </c>
      <c r="E106" s="6" t="s">
        <v>78</v>
      </c>
      <c r="F106" s="6" t="str">
        <f>'Detailed Car List + Stats'!G106</f>
        <v>USA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6.5" customHeight="1">
      <c r="A107" s="6" t="str">
        <f>'Detailed Car List + Stats'!B107</f>
        <v>1970</v>
      </c>
      <c r="B107" s="6" t="str">
        <f>'Detailed Car List + Stats'!C107</f>
        <v>Chevrolet</v>
      </c>
      <c r="C107" s="6" t="str">
        <f>'Detailed Car List + Stats'!D107</f>
        <v>Camaro Z28</v>
      </c>
      <c r="D107" s="6" t="str">
        <f>'Detailed Car List + Stats'!E107</f>
        <v>Classic Muscle</v>
      </c>
      <c r="E107" s="6" t="s">
        <v>28</v>
      </c>
      <c r="F107" s="6" t="str">
        <f>'Detailed Car List + Stats'!G107</f>
        <v>USA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6.5" customHeight="1">
      <c r="A108" s="6" t="str">
        <f>'Detailed Car List + Stats'!B108</f>
        <v>1979</v>
      </c>
      <c r="B108" s="6" t="str">
        <f>'Detailed Car List + Stats'!C108</f>
        <v>Chevrolet</v>
      </c>
      <c r="C108" s="6" t="str">
        <f>'Detailed Car List + Stats'!D108</f>
        <v>Camaro Z28</v>
      </c>
      <c r="D108" s="6" t="str">
        <f>'Detailed Car List + Stats'!E108</f>
        <v>Classic Muscle</v>
      </c>
      <c r="E108" s="6" t="s">
        <v>31</v>
      </c>
      <c r="F108" s="6" t="str">
        <f>'Detailed Car List + Stats'!G108</f>
        <v>USA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6.5" customHeight="1">
      <c r="A109" s="6" t="str">
        <f>'Detailed Car List + Stats'!B109</f>
        <v>2017</v>
      </c>
      <c r="B109" s="6" t="str">
        <f>'Detailed Car List + Stats'!C109</f>
        <v>Chevrolet</v>
      </c>
      <c r="C109" s="6" t="str">
        <f>'Detailed Car List + Stats'!D109</f>
        <v>Camaro ZL1</v>
      </c>
      <c r="D109" s="6" t="str">
        <f>'Detailed Car List + Stats'!E109</f>
        <v>Modern Muscle</v>
      </c>
      <c r="E109" s="6" t="s">
        <v>53</v>
      </c>
      <c r="F109" s="6" t="str">
        <f>'Detailed Car List + Stats'!G109</f>
        <v>USA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6.5" customHeight="1">
      <c r="A110" s="6" t="str">
        <f>'Detailed Car List + Stats'!B110</f>
        <v>2024</v>
      </c>
      <c r="B110" s="6" t="str">
        <f>'Detailed Car List + Stats'!C110</f>
        <v>Chevrolet</v>
      </c>
      <c r="C110" s="6" t="str">
        <f>'Detailed Car List + Stats'!D110</f>
        <v>Camaro ZL1</v>
      </c>
      <c r="D110" s="6" t="str">
        <f>'Detailed Car List + Stats'!E110</f>
        <v>Modern Muscle</v>
      </c>
      <c r="E110" s="6" t="s">
        <v>53</v>
      </c>
      <c r="F110" s="6" t="str">
        <f>'Detailed Car List + Stats'!G110</f>
        <v>USA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6.5" customHeight="1">
      <c r="A111" s="6" t="str">
        <f>'Detailed Car List + Stats'!B111</f>
        <v>2018</v>
      </c>
      <c r="B111" s="6" t="str">
        <f>'Detailed Car List + Stats'!C111</f>
        <v>Chevrolet</v>
      </c>
      <c r="C111" s="6" t="str">
        <f>'Detailed Car List + Stats'!D111</f>
        <v>Camaro ZL1 1LE</v>
      </c>
      <c r="D111" s="6" t="str">
        <f>'Detailed Car List + Stats'!E111</f>
        <v>Track Toys</v>
      </c>
      <c r="E111" s="6" t="s">
        <v>53</v>
      </c>
      <c r="F111" s="6" t="str">
        <f>'Detailed Car List + Stats'!G111</f>
        <v>USA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6.5" customHeight="1">
      <c r="A112" s="6" t="str">
        <f>'Detailed Car List + Stats'!B112</f>
        <v>1970</v>
      </c>
      <c r="B112" s="6" t="str">
        <f>'Detailed Car List + Stats'!C112</f>
        <v>Chevrolet</v>
      </c>
      <c r="C112" s="6" t="str">
        <f>'Detailed Car List + Stats'!D112</f>
        <v>Chevelle Super Sport 454</v>
      </c>
      <c r="D112" s="6" t="str">
        <f>'Detailed Car List + Stats'!E112</f>
        <v>Classic Muscle</v>
      </c>
      <c r="E112" s="6" t="s">
        <v>28</v>
      </c>
      <c r="F112" s="6" t="str">
        <f>'Detailed Car List + Stats'!G112</f>
        <v>USA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6.5" customHeight="1">
      <c r="A113" s="6" t="str">
        <f>'Detailed Car List + Stats'!B113</f>
        <v>1953</v>
      </c>
      <c r="B113" s="6" t="str">
        <f>'Detailed Car List + Stats'!C113</f>
        <v>Chevrolet</v>
      </c>
      <c r="C113" s="6" t="str">
        <f>'Detailed Car List + Stats'!D113</f>
        <v>Corvette</v>
      </c>
      <c r="D113" s="6" t="str">
        <f>'Detailed Car List + Stats'!E113</f>
        <v>Classic Sports Cars</v>
      </c>
      <c r="E113" s="6" t="s">
        <v>31</v>
      </c>
      <c r="F113" s="6" t="str">
        <f>'Detailed Car List + Stats'!G113</f>
        <v>USA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6.5" customHeight="1">
      <c r="A114" s="6" t="str">
        <f>'Detailed Car List + Stats'!B114</f>
        <v>1960</v>
      </c>
      <c r="B114" s="6" t="str">
        <f>'Detailed Car List + Stats'!C114</f>
        <v>Chevrolet</v>
      </c>
      <c r="C114" s="6" t="str">
        <f>'Detailed Car List + Stats'!D114</f>
        <v>Corvette</v>
      </c>
      <c r="D114" s="6" t="str">
        <f>'Detailed Car List + Stats'!E114</f>
        <v>Classic Sports Cars</v>
      </c>
      <c r="E114" s="6" t="s">
        <v>28</v>
      </c>
      <c r="F114" s="6" t="str">
        <f>'Detailed Car List + Stats'!G114</f>
        <v>USA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6.5" customHeight="1">
      <c r="A115" s="6" t="str">
        <f>'Detailed Car List + Stats'!B115</f>
        <v>2024</v>
      </c>
      <c r="B115" s="6" t="str">
        <f>'Detailed Car List + Stats'!C115</f>
        <v>Chevrolet</v>
      </c>
      <c r="C115" s="6" t="str">
        <f>'Detailed Car List + Stats'!D115</f>
        <v>Corvette E-Ray</v>
      </c>
      <c r="D115" s="6" t="str">
        <f>'Detailed Car List + Stats'!E115</f>
        <v>Modern Supercars</v>
      </c>
      <c r="E115" s="6" t="s">
        <v>53</v>
      </c>
      <c r="F115" s="6" t="str">
        <f>'Detailed Car List + Stats'!G115</f>
        <v>USA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6.5" customHeight="1">
      <c r="A116" s="6" t="str">
        <f>'Detailed Car List + Stats'!B116</f>
        <v>1967</v>
      </c>
      <c r="B116" s="6" t="str">
        <f>'Detailed Car List + Stats'!C116</f>
        <v>Chevrolet</v>
      </c>
      <c r="C116" s="6" t="str">
        <f>'Detailed Car List + Stats'!D116</f>
        <v>Corvette Stingray 427</v>
      </c>
      <c r="D116" s="6" t="str">
        <f>'Detailed Car List + Stats'!E116</f>
        <v>Classic Muscle</v>
      </c>
      <c r="E116" s="6" t="s">
        <v>35</v>
      </c>
      <c r="F116" s="6" t="str">
        <f>'Detailed Car List + Stats'!G116</f>
        <v>USA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6.5" customHeight="1">
      <c r="A117" s="6" t="str">
        <f>'Detailed Car List + Stats'!B117</f>
        <v>2020</v>
      </c>
      <c r="B117" s="6" t="str">
        <f>'Detailed Car List + Stats'!C117</f>
        <v>Chevrolet</v>
      </c>
      <c r="C117" s="6" t="str">
        <f>'Detailed Car List + Stats'!D117</f>
        <v>Corvette Stingray Coupe</v>
      </c>
      <c r="D117" s="6" t="str">
        <f>'Detailed Car List + Stats'!E117</f>
        <v>Modern Supercars</v>
      </c>
      <c r="E117" s="6" t="s">
        <v>78</v>
      </c>
      <c r="F117" s="6" t="str">
        <f>'Detailed Car List + Stats'!G117</f>
        <v>USA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6.5" customHeight="1">
      <c r="A118" s="6" t="str">
        <f>'Detailed Car List + Stats'!B118</f>
        <v>2002</v>
      </c>
      <c r="B118" s="6" t="str">
        <f>'Detailed Car List + Stats'!C118</f>
        <v>Chevrolet</v>
      </c>
      <c r="C118" s="6" t="str">
        <f>'Detailed Car List + Stats'!D118</f>
        <v>Corvette Z06</v>
      </c>
      <c r="D118" s="6" t="str">
        <f>'Detailed Car List + Stats'!E118</f>
        <v>Retro Muscle</v>
      </c>
      <c r="E118" s="6" t="s">
        <v>78</v>
      </c>
      <c r="F118" s="6" t="str">
        <f>'Detailed Car List + Stats'!G118</f>
        <v>USA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6.5" customHeight="1">
      <c r="A119" s="6" t="str">
        <f>'Detailed Car List + Stats'!B119</f>
        <v>2015</v>
      </c>
      <c r="B119" s="6" t="str">
        <f>'Detailed Car List + Stats'!C119</f>
        <v>Chevrolet</v>
      </c>
      <c r="C119" s="6" t="str">
        <f>'Detailed Car List + Stats'!D119</f>
        <v>Corvette Z06</v>
      </c>
      <c r="D119" s="6" t="str">
        <f>'Detailed Car List + Stats'!E119</f>
        <v>Modern Muscle</v>
      </c>
      <c r="E119" s="6" t="s">
        <v>53</v>
      </c>
      <c r="F119" s="6" t="str">
        <f>'Detailed Car List + Stats'!G119</f>
        <v>USA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6.5" customHeight="1">
      <c r="A120" s="6" t="str">
        <f>'Detailed Car List + Stats'!B120</f>
        <v>2023</v>
      </c>
      <c r="B120" s="6" t="str">
        <f>'Detailed Car List + Stats'!C120</f>
        <v>Chevrolet</v>
      </c>
      <c r="C120" s="6" t="str">
        <f>'Detailed Car List + Stats'!D120</f>
        <v>Corvette Z06</v>
      </c>
      <c r="D120" s="6" t="str">
        <f>'Detailed Car List + Stats'!E120</f>
        <v>Track Toys</v>
      </c>
      <c r="E120" s="6" t="s">
        <v>53</v>
      </c>
      <c r="F120" s="6" t="str">
        <f>'Detailed Car List + Stats'!G120</f>
        <v>USA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6.5" customHeight="1">
      <c r="A121" s="6" t="str">
        <f>'Detailed Car List + Stats'!B121</f>
        <v>1970</v>
      </c>
      <c r="B121" s="6" t="str">
        <f>'Detailed Car List + Stats'!C121</f>
        <v>Chevrolet</v>
      </c>
      <c r="C121" s="6" t="str">
        <f>'Detailed Car List + Stats'!D121</f>
        <v>Corvette ZR-1</v>
      </c>
      <c r="D121" s="6" t="str">
        <f>'Detailed Car List + Stats'!E121</f>
        <v>Classic Muscle</v>
      </c>
      <c r="E121" s="6" t="s">
        <v>28</v>
      </c>
      <c r="F121" s="6" t="str">
        <f>'Detailed Car List + Stats'!G121</f>
        <v>USA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6.5" customHeight="1">
      <c r="A122" s="6" t="str">
        <f>'Detailed Car List + Stats'!B122</f>
        <v>1995</v>
      </c>
      <c r="B122" s="6" t="str">
        <f>'Detailed Car List + Stats'!C122</f>
        <v>Chevrolet</v>
      </c>
      <c r="C122" s="6" t="str">
        <f>'Detailed Car List + Stats'!D122</f>
        <v>Corvette ZR-1</v>
      </c>
      <c r="D122" s="6" t="str">
        <f>'Detailed Car List + Stats'!E122</f>
        <v>Retro Muscle</v>
      </c>
      <c r="E122" s="6" t="s">
        <v>35</v>
      </c>
      <c r="F122" s="6" t="str">
        <f>'Detailed Car List + Stats'!G122</f>
        <v>USA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6.5" customHeight="1">
      <c r="A123" s="6" t="str">
        <f>'Detailed Car List + Stats'!B123</f>
        <v>2009</v>
      </c>
      <c r="B123" s="6" t="str">
        <f>'Detailed Car List + Stats'!C123</f>
        <v>Chevrolet</v>
      </c>
      <c r="C123" s="6" t="str">
        <f>'Detailed Car List + Stats'!D123</f>
        <v>Corvette ZR1</v>
      </c>
      <c r="D123" s="6" t="str">
        <f>'Detailed Car List + Stats'!E123</f>
        <v>Modern Muscle</v>
      </c>
      <c r="E123" s="6" t="s">
        <v>53</v>
      </c>
      <c r="F123" s="6" t="str">
        <f>'Detailed Car List + Stats'!G123</f>
        <v>USA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6.5" customHeight="1">
      <c r="A124" s="6" t="str">
        <f>'Detailed Car List + Stats'!B124</f>
        <v>2019</v>
      </c>
      <c r="B124" s="6" t="str">
        <f>'Detailed Car List + Stats'!C124</f>
        <v>Chevrolet</v>
      </c>
      <c r="C124" s="6" t="str">
        <f>'Detailed Car List + Stats'!D124</f>
        <v>Corvette ZR1</v>
      </c>
      <c r="D124" s="6" t="str">
        <f>'Detailed Car List + Stats'!E124</f>
        <v>Track Toys</v>
      </c>
      <c r="E124" s="6" t="s">
        <v>53</v>
      </c>
      <c r="F124" s="6" t="str">
        <f>'Detailed Car List + Stats'!G124</f>
        <v>USA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6.5" customHeight="1">
      <c r="A125" s="6" t="str">
        <f>'Detailed Car List + Stats'!B125</f>
        <v>1970</v>
      </c>
      <c r="B125" s="6" t="str">
        <f>'Detailed Car List + Stats'!C125</f>
        <v>Chevrolet</v>
      </c>
      <c r="C125" s="6" t="str">
        <f>'Detailed Car List + Stats'!D125</f>
        <v>El Camino Super Sport 454</v>
      </c>
      <c r="D125" s="6" t="str">
        <f>'Detailed Car List + Stats'!E125</f>
        <v>Utility Heroes</v>
      </c>
      <c r="E125" s="6" t="s">
        <v>28</v>
      </c>
      <c r="F125" s="6" t="str">
        <f>'Detailed Car List + Stats'!G125</f>
        <v>USA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6.5" customHeight="1">
      <c r="A126" s="6" t="str">
        <f>'Detailed Car List + Stats'!B126</f>
        <v>1996</v>
      </c>
      <c r="B126" s="6" t="str">
        <f>'Detailed Car List + Stats'!C126</f>
        <v>Chevrolet</v>
      </c>
      <c r="C126" s="6" t="str">
        <f>'Detailed Car List + Stats'!D126</f>
        <v>Impala Super Sport</v>
      </c>
      <c r="D126" s="6" t="str">
        <f>'Detailed Car List + Stats'!E126</f>
        <v>Retro Muscle</v>
      </c>
      <c r="E126" s="6" t="s">
        <v>28</v>
      </c>
      <c r="F126" s="6" t="str">
        <f>'Detailed Car List + Stats'!G126</f>
        <v>USA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6.5" customHeight="1">
      <c r="A127" s="6" t="str">
        <f>'Detailed Car List + Stats'!B127</f>
        <v>1964</v>
      </c>
      <c r="B127" s="6" t="str">
        <f>'Detailed Car List + Stats'!C127</f>
        <v>Chevrolet</v>
      </c>
      <c r="C127" s="6" t="str">
        <f>'Detailed Car List + Stats'!D127</f>
        <v>Impala Super Sport 409</v>
      </c>
      <c r="D127" s="6" t="str">
        <f>'Detailed Car List + Stats'!E127</f>
        <v>Rods &amp; Customs</v>
      </c>
      <c r="E127" s="6" t="s">
        <v>28</v>
      </c>
      <c r="F127" s="6" t="str">
        <f>'Detailed Car List + Stats'!G127</f>
        <v>USA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6.5" customHeight="1">
      <c r="A128" s="6" t="str">
        <f>'Detailed Car List + Stats'!B128</f>
        <v>1972</v>
      </c>
      <c r="B128" s="6" t="str">
        <f>'Detailed Car List + Stats'!C128</f>
        <v>Chevrolet</v>
      </c>
      <c r="C128" s="6" t="str">
        <f>'Detailed Car List + Stats'!D128</f>
        <v>K-10 Custom</v>
      </c>
      <c r="D128" s="6" t="str">
        <f>'Detailed Car List + Stats'!E128</f>
        <v>Pickups &amp; 4x4s</v>
      </c>
      <c r="E128" s="6" t="s">
        <v>31</v>
      </c>
      <c r="F128" s="6" t="str">
        <f>'Detailed Car List + Stats'!G128</f>
        <v>USA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6.5" customHeight="1">
      <c r="A129" s="6" t="str">
        <f>'Detailed Car List + Stats'!B129</f>
        <v>1988</v>
      </c>
      <c r="B129" s="6" t="str">
        <f>'Detailed Car List + Stats'!C129</f>
        <v>Chevrolet</v>
      </c>
      <c r="C129" s="6" t="str">
        <f>'Detailed Car List + Stats'!D129</f>
        <v>Monte Carlo Super Sport</v>
      </c>
      <c r="D129" s="6" t="str">
        <f>'Detailed Car List + Stats'!E129</f>
        <v>Retro Muscle</v>
      </c>
      <c r="E129" s="6" t="s">
        <v>31</v>
      </c>
      <c r="F129" s="6" t="str">
        <f>'Detailed Car List + Stats'!G129</f>
        <v>USA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6.5" customHeight="1">
      <c r="A130" s="6" t="str">
        <f>'Detailed Car List + Stats'!B130</f>
        <v>1969</v>
      </c>
      <c r="B130" s="6" t="str">
        <f>'Detailed Car List + Stats'!C130</f>
        <v>Chevrolet</v>
      </c>
      <c r="C130" s="6" t="str">
        <f>'Detailed Car List + Stats'!D130</f>
        <v>Nova Super Sport 396</v>
      </c>
      <c r="D130" s="6" t="str">
        <f>'Detailed Car List + Stats'!E130</f>
        <v>Classic Muscle</v>
      </c>
      <c r="E130" s="6" t="s">
        <v>28</v>
      </c>
      <c r="F130" s="6" t="str">
        <f>'Detailed Car List + Stats'!G130</f>
        <v>USA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6.5" customHeight="1">
      <c r="A131" s="6" t="str">
        <f>'Detailed Car List + Stats'!B131</f>
        <v>2020</v>
      </c>
      <c r="B131" s="6" t="str">
        <f>'Detailed Car List + Stats'!C131</f>
        <v>Chevrolet</v>
      </c>
      <c r="C131" s="6" t="str">
        <f>'Detailed Car List + Stats'!D131</f>
        <v>Silverado LT Trail Boss</v>
      </c>
      <c r="D131" s="6" t="str">
        <f>'Detailed Car List + Stats'!E131</f>
        <v>Pickups &amp; 4x4s</v>
      </c>
      <c r="E131" s="6" t="s">
        <v>28</v>
      </c>
      <c r="F131" s="6" t="str">
        <f>'Detailed Car List + Stats'!G131</f>
        <v>USA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6.5" customHeight="1">
      <c r="A132" s="6" t="str">
        <f>'Detailed Car List + Stats'!B132</f>
        <v>1972</v>
      </c>
      <c r="B132" s="6" t="str">
        <f>'Detailed Car List + Stats'!C132</f>
        <v>Datsun</v>
      </c>
      <c r="C132" s="6" t="str">
        <f>'Detailed Car List + Stats'!D132</f>
        <v>#269 Attacking the Clock Racing 240Z 'All Carbon Hill Climb Beast'</v>
      </c>
      <c r="D132" s="6" t="str">
        <f>'Detailed Car List + Stats'!E132</f>
        <v>Extreme Track Toys</v>
      </c>
      <c r="E132" s="6" t="s">
        <v>108</v>
      </c>
      <c r="F132" s="6" t="str">
        <f>'Detailed Car List + Stats'!G132</f>
        <v>Japan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6.5" customHeight="1">
      <c r="A133" s="6" t="str">
        <f>'Detailed Car List + Stats'!B133</f>
        <v>1969</v>
      </c>
      <c r="B133" s="6" t="str">
        <f>'Detailed Car List + Stats'!C133</f>
        <v>Datsun</v>
      </c>
      <c r="C133" s="6" t="str">
        <f>'Detailed Car List + Stats'!D133</f>
        <v>2000 Roadster</v>
      </c>
      <c r="D133" s="6" t="str">
        <f>'Detailed Car List + Stats'!E133</f>
        <v>Classic Sports Cars</v>
      </c>
      <c r="E133" s="6" t="s">
        <v>31</v>
      </c>
      <c r="F133" s="6" t="str">
        <f>'Detailed Car List + Stats'!G133</f>
        <v>Japan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6.5" customHeight="1">
      <c r="A134" s="6" t="str">
        <f>'Detailed Car List + Stats'!B134</f>
        <v>1970</v>
      </c>
      <c r="B134" s="6" t="str">
        <f>'Detailed Car List + Stats'!C134</f>
        <v>Datsun</v>
      </c>
      <c r="C134" s="6" t="str">
        <f>'Detailed Car List + Stats'!D134</f>
        <v>510</v>
      </c>
      <c r="D134" s="6" t="str">
        <f>'Detailed Car List + Stats'!E134</f>
        <v>Classic Sports Cars</v>
      </c>
      <c r="E134" s="6" t="s">
        <v>31</v>
      </c>
      <c r="F134" s="6" t="str">
        <f>'Detailed Car List + Stats'!G134</f>
        <v>Japan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6.5" customHeight="1">
      <c r="A135" s="6" t="str">
        <f>'Detailed Car List + Stats'!B135</f>
        <v>1984</v>
      </c>
      <c r="B135" s="6" t="str">
        <f>'Detailed Car List + Stats'!C135</f>
        <v>De Tomaso</v>
      </c>
      <c r="C135" s="6" t="str">
        <f>'Detailed Car List + Stats'!D135</f>
        <v>Pantera GT5</v>
      </c>
      <c r="D135" s="6" t="str">
        <f>'Detailed Car List + Stats'!E135</f>
        <v>Retro Supercars</v>
      </c>
      <c r="E135" s="6" t="s">
        <v>35</v>
      </c>
      <c r="F135" s="6" t="str">
        <f>'Detailed Car List + Stats'!G135</f>
        <v>Italy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6.5" customHeight="1">
      <c r="A136" s="6" t="str">
        <f>'Detailed Car List + Stats'!B136</f>
        <v>2018</v>
      </c>
      <c r="B136" s="6" t="str">
        <f>'Detailed Car List + Stats'!C136</f>
        <v>DeBerti</v>
      </c>
      <c r="C136" s="6" t="str">
        <f>'Detailed Car List + Stats'!D136</f>
        <v>Chevrolet Silverado 1500 Drift Truck</v>
      </c>
      <c r="D136" s="6" t="str">
        <f>'Detailed Car List + Stats'!E136</f>
        <v>Drift Cars</v>
      </c>
      <c r="E136" s="6" t="s">
        <v>53</v>
      </c>
      <c r="F136" s="6" t="str">
        <f>'Detailed Car List + Stats'!G136</f>
        <v>USA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6.5" customHeight="1">
      <c r="A137" s="6" t="str">
        <f>'Detailed Car List + Stats'!B137</f>
        <v>2019</v>
      </c>
      <c r="B137" s="6" t="str">
        <f>'Detailed Car List + Stats'!C137</f>
        <v>DeBerti</v>
      </c>
      <c r="C137" s="6" t="str">
        <f>'Detailed Car List + Stats'!D137</f>
        <v>Ford Super Duty F-250 Lariat 'Transformer'</v>
      </c>
      <c r="D137" s="6" t="str">
        <f>'Detailed Car List + Stats'!E137</f>
        <v>Unlimited Offroad</v>
      </c>
      <c r="E137" s="6" t="s">
        <v>35</v>
      </c>
      <c r="F137" s="6" t="str">
        <f>'Detailed Car List + Stats'!G137</f>
        <v>USA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6.5" customHeight="1">
      <c r="A138" s="6" t="str">
        <f>'Detailed Car List + Stats'!B138</f>
        <v>2013</v>
      </c>
      <c r="B138" s="6" t="str">
        <f>'Detailed Car List + Stats'!C138</f>
        <v>DeBerti</v>
      </c>
      <c r="C138" s="6" t="str">
        <f>'Detailed Car List + Stats'!D138</f>
        <v>Jeep Wrangler Unlimited</v>
      </c>
      <c r="D138" s="6" t="str">
        <f>'Detailed Car List + Stats'!E138</f>
        <v>Unlimited Offroad</v>
      </c>
      <c r="E138" s="6" t="s">
        <v>78</v>
      </c>
      <c r="F138" s="6" t="str">
        <f>'Detailed Car List + Stats'!G138</f>
        <v>USA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6.5" customHeight="1">
      <c r="A139" s="6" t="str">
        <f>'Detailed Car List + Stats'!B139</f>
        <v>2019</v>
      </c>
      <c r="B139" s="6" t="str">
        <f>'Detailed Car List + Stats'!C139</f>
        <v>DeBerti</v>
      </c>
      <c r="C139" s="6" t="str">
        <f>'Detailed Car List + Stats'!D139</f>
        <v>Toyota Tacoma TRD ‘The Performance Truck’</v>
      </c>
      <c r="D139" s="6" t="str">
        <f>'Detailed Car List + Stats'!E139</f>
        <v>Drift Cars</v>
      </c>
      <c r="E139" s="6" t="s">
        <v>53</v>
      </c>
      <c r="F139" s="6" t="str">
        <f>'Detailed Car List + Stats'!G139</f>
        <v>USA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6.5" customHeight="1">
      <c r="A140" s="6" t="str">
        <f>'Detailed Car List + Stats'!B140</f>
        <v>1982</v>
      </c>
      <c r="B140" s="6" t="str">
        <f>'Detailed Car List + Stats'!C140</f>
        <v>DeLorean</v>
      </c>
      <c r="C140" s="6" t="str">
        <f>'Detailed Car List + Stats'!D140</f>
        <v>DMC-12</v>
      </c>
      <c r="D140" s="6" t="str">
        <f>'Detailed Car List + Stats'!E140</f>
        <v>Retro Sports Cars</v>
      </c>
      <c r="E140" s="6" t="s">
        <v>31</v>
      </c>
      <c r="F140" s="6" t="str">
        <f>'Detailed Car List + Stats'!G140</f>
        <v>USA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6.5" customHeight="1">
      <c r="A141" s="6" t="str">
        <f>'Detailed Car List + Stats'!B141</f>
        <v>1970</v>
      </c>
      <c r="B141" s="6" t="str">
        <f>'Detailed Car List + Stats'!C141</f>
        <v>Dodge</v>
      </c>
      <c r="C141" s="6" t="str">
        <f>'Detailed Car List + Stats'!D141</f>
        <v>Challenger R/T</v>
      </c>
      <c r="D141" s="6" t="str">
        <f>'Detailed Car List + Stats'!E141</f>
        <v>Classic Muscle</v>
      </c>
      <c r="E141" s="6" t="s">
        <v>28</v>
      </c>
      <c r="F141" s="6" t="str">
        <f>'Detailed Car List + Stats'!G141</f>
        <v>USA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6.5" customHeight="1">
      <c r="A142" s="6" t="str">
        <f>'Detailed Car List + Stats'!B142</f>
        <v>2018</v>
      </c>
      <c r="B142" s="6" t="str">
        <f>'Detailed Car List + Stats'!C142</f>
        <v>Dodge</v>
      </c>
      <c r="C142" s="6" t="str">
        <f>'Detailed Car List + Stats'!D142</f>
        <v>Challenger SRT Demon</v>
      </c>
      <c r="D142" s="6" t="str">
        <f>'Detailed Car List + Stats'!E142</f>
        <v>Modern Muscle</v>
      </c>
      <c r="E142" s="6" t="s">
        <v>78</v>
      </c>
      <c r="F142" s="6" t="str">
        <f>'Detailed Car List + Stats'!G142</f>
        <v>USA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6.5" customHeight="1">
      <c r="A143" s="6" t="str">
        <f>'Detailed Car List + Stats'!B143</f>
        <v>2015</v>
      </c>
      <c r="B143" s="6" t="str">
        <f>'Detailed Car List + Stats'!C143</f>
        <v>Dodge</v>
      </c>
      <c r="C143" s="6" t="str">
        <f>'Detailed Car List + Stats'!D143</f>
        <v>Challenger SRT Hellcat</v>
      </c>
      <c r="D143" s="6" t="str">
        <f>'Detailed Car List + Stats'!E143</f>
        <v>Modern Muscle</v>
      </c>
      <c r="E143" s="6" t="s">
        <v>78</v>
      </c>
      <c r="F143" s="6" t="str">
        <f>'Detailed Car List + Stats'!G143</f>
        <v>USA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6.5" customHeight="1">
      <c r="A144" s="6" t="str">
        <f>'Detailed Car List + Stats'!B144</f>
        <v>2022</v>
      </c>
      <c r="B144" s="6" t="str">
        <f>'Detailed Car List + Stats'!C144</f>
        <v>Dodge</v>
      </c>
      <c r="C144" s="6" t="str">
        <f>'Detailed Car List + Stats'!D144</f>
        <v>Challenger SRT Super Stock</v>
      </c>
      <c r="D144" s="6" t="str">
        <f>'Detailed Car List + Stats'!E144</f>
        <v>Modern Muscle</v>
      </c>
      <c r="E144" s="6" t="s">
        <v>78</v>
      </c>
      <c r="F144" s="6" t="str">
        <f>'Detailed Car List + Stats'!G144</f>
        <v>USA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6.5" customHeight="1">
      <c r="A145" s="6" t="str">
        <f>'Detailed Car List + Stats'!B145</f>
        <v>1969</v>
      </c>
      <c r="B145" s="6" t="str">
        <f>'Detailed Car List + Stats'!C145</f>
        <v>Dodge</v>
      </c>
      <c r="C145" s="6" t="str">
        <f>'Detailed Car List + Stats'!D145</f>
        <v>Charger Daytona HEMI</v>
      </c>
      <c r="D145" s="6" t="str">
        <f>'Detailed Car List + Stats'!E145</f>
        <v>Classic Muscle</v>
      </c>
      <c r="E145" s="6" t="s">
        <v>28</v>
      </c>
      <c r="F145" s="6" t="str">
        <f>'Detailed Car List + Stats'!G145</f>
        <v>USA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6.5" customHeight="1">
      <c r="A146" s="6" t="str">
        <f>'Detailed Car List + Stats'!B146</f>
        <v>1969</v>
      </c>
      <c r="B146" s="6" t="str">
        <f>'Detailed Car List + Stats'!C146</f>
        <v>Dodge</v>
      </c>
      <c r="C146" s="6" t="str">
        <f>'Detailed Car List + Stats'!D146</f>
        <v>Charger R/T</v>
      </c>
      <c r="D146" s="6" t="str">
        <f>'Detailed Car List + Stats'!E146</f>
        <v>Classic Muscle</v>
      </c>
      <c r="E146" s="6" t="s">
        <v>28</v>
      </c>
      <c r="F146" s="6" t="str">
        <f>'Detailed Car List + Stats'!G146</f>
        <v>USA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6.5" customHeight="1">
      <c r="A147" s="6" t="str">
        <f>'Detailed Car List + Stats'!B147</f>
        <v>2015</v>
      </c>
      <c r="B147" s="6" t="str">
        <f>'Detailed Car List + Stats'!C147</f>
        <v>Dodge</v>
      </c>
      <c r="C147" s="6" t="str">
        <f>'Detailed Car List + Stats'!D147</f>
        <v>Charger SRT Hellcat</v>
      </c>
      <c r="D147" s="6" t="str">
        <f>'Detailed Car List + Stats'!E147</f>
        <v>Modern Muscle</v>
      </c>
      <c r="E147" s="6" t="s">
        <v>78</v>
      </c>
      <c r="F147" s="6" t="str">
        <f>'Detailed Car List + Stats'!G147</f>
        <v>USA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6.5" customHeight="1">
      <c r="A148" s="6" t="str">
        <f>'Detailed Car List + Stats'!B148</f>
        <v>1970</v>
      </c>
      <c r="B148" s="6" t="str">
        <f>'Detailed Car List + Stats'!C148</f>
        <v>Dodge</v>
      </c>
      <c r="C148" s="6" t="str">
        <f>'Detailed Car List + Stats'!D148</f>
        <v>Coronet Super Bee</v>
      </c>
      <c r="D148" s="6" t="str">
        <f>'Detailed Car List + Stats'!E148</f>
        <v>Classic Muscle</v>
      </c>
      <c r="E148" s="6" t="s">
        <v>28</v>
      </c>
      <c r="F148" s="6" t="str">
        <f>'Detailed Car List + Stats'!G148</f>
        <v>USA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6.5" customHeight="1">
      <c r="A149" s="6" t="str">
        <f>'Detailed Car List + Stats'!B149</f>
        <v>1968</v>
      </c>
      <c r="B149" s="6" t="str">
        <f>'Detailed Car List + Stats'!C149</f>
        <v>Dodge</v>
      </c>
      <c r="C149" s="6" t="str">
        <f>'Detailed Car List + Stats'!D149</f>
        <v>Dart HEMI Super Stock</v>
      </c>
      <c r="D149" s="6" t="str">
        <f>'Detailed Car List + Stats'!E149</f>
        <v>Classic Muscle</v>
      </c>
      <c r="E149" s="6" t="s">
        <v>35</v>
      </c>
      <c r="F149" s="6" t="str">
        <f>'Detailed Car List + Stats'!G149</f>
        <v>USA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6.5" customHeight="1">
      <c r="A150" s="6" t="str">
        <f>'Detailed Car List + Stats'!B150</f>
        <v>2021</v>
      </c>
      <c r="B150" s="6" t="str">
        <f>'Detailed Car List + Stats'!C150</f>
        <v>Dodge</v>
      </c>
      <c r="C150" s="6" t="str">
        <f>'Detailed Car List + Stats'!D150</f>
        <v>Durango SRT Hellcat</v>
      </c>
      <c r="D150" s="6" t="str">
        <f>'Detailed Car List + Stats'!E150</f>
        <v>Sports Utility Heroes</v>
      </c>
      <c r="E150" s="6" t="s">
        <v>78</v>
      </c>
      <c r="F150" s="6" t="str">
        <f>'Detailed Car List + Stats'!G150</f>
        <v>USA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6.5" customHeight="1">
      <c r="A151" s="6" t="str">
        <f>'Detailed Car List + Stats'!B151</f>
        <v>2006</v>
      </c>
      <c r="B151" s="6" t="str">
        <f>'Detailed Car List + Stats'!C151</f>
        <v>Dodge</v>
      </c>
      <c r="C151" s="6" t="str">
        <f>'Detailed Car List + Stats'!D151</f>
        <v>Ram SRT-10</v>
      </c>
      <c r="D151" s="6" t="str">
        <f>'Detailed Car List + Stats'!E151</f>
        <v>Modern Muscle</v>
      </c>
      <c r="E151" s="6" t="s">
        <v>35</v>
      </c>
      <c r="F151" s="6" t="str">
        <f>'Detailed Car List + Stats'!G151</f>
        <v>USA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6.5" customHeight="1">
      <c r="A152" s="6" t="str">
        <f>'Detailed Car List + Stats'!B152</f>
        <v>2016</v>
      </c>
      <c r="B152" s="6" t="str">
        <f>'Detailed Car List + Stats'!C152</f>
        <v>Dodge</v>
      </c>
      <c r="C152" s="6" t="str">
        <f>'Detailed Car List + Stats'!D152</f>
        <v>Viper ACR</v>
      </c>
      <c r="D152" s="6" t="str">
        <f>'Detailed Car List + Stats'!E152</f>
        <v>Track Toys</v>
      </c>
      <c r="E152" s="6" t="s">
        <v>53</v>
      </c>
      <c r="F152" s="6" t="str">
        <f>'Detailed Car List + Stats'!G152</f>
        <v>USA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6.5" customHeight="1">
      <c r="A153" s="6" t="str">
        <f>'Detailed Car List + Stats'!B153</f>
        <v>1999</v>
      </c>
      <c r="B153" s="6" t="str">
        <f>'Detailed Car List + Stats'!C153</f>
        <v>Dodge</v>
      </c>
      <c r="C153" s="6" t="str">
        <f>'Detailed Car List + Stats'!D153</f>
        <v>Viper GTS ACR</v>
      </c>
      <c r="D153" s="6" t="str">
        <f>'Detailed Car List + Stats'!E153</f>
        <v>Retro Muscle</v>
      </c>
      <c r="E153" s="6" t="s">
        <v>35</v>
      </c>
      <c r="F153" s="6" t="str">
        <f>'Detailed Car List + Stats'!G153</f>
        <v>USA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6.5" customHeight="1">
      <c r="A154" s="6" t="str">
        <f>'Detailed Car List + Stats'!B154</f>
        <v>1999</v>
      </c>
      <c r="B154" s="6" t="str">
        <f>'Detailed Car List + Stats'!C154</f>
        <v>Dodge</v>
      </c>
      <c r="C154" s="6" t="str">
        <f>'Detailed Car List + Stats'!D154</f>
        <v>Viper GTS ACR Forza Edition</v>
      </c>
      <c r="D154" s="6" t="str">
        <f>'Detailed Car List + Stats'!E154</f>
        <v>Unlimited Offroad</v>
      </c>
      <c r="E154" s="6" t="s">
        <v>78</v>
      </c>
      <c r="F154" s="6" t="str">
        <f>'Detailed Car List + Stats'!G154</f>
        <v>USA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6.5" customHeight="1">
      <c r="A155" s="6" t="str">
        <f>'Detailed Car List + Stats'!B155</f>
        <v>2008</v>
      </c>
      <c r="B155" s="6" t="str">
        <f>'Detailed Car List + Stats'!C155</f>
        <v>Dodge</v>
      </c>
      <c r="C155" s="6" t="str">
        <f>'Detailed Car List + Stats'!D155</f>
        <v>Viper SRT-10 ACR</v>
      </c>
      <c r="D155" s="6" t="str">
        <f>'Detailed Car List + Stats'!E155</f>
        <v>Track Toys</v>
      </c>
      <c r="E155" s="6" t="s">
        <v>53</v>
      </c>
      <c r="F155" s="6" t="str">
        <f>'Detailed Car List + Stats'!G155</f>
        <v>USA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6.5" customHeight="1">
      <c r="A156" s="6" t="str">
        <f>'Detailed Car List + Stats'!B156</f>
        <v>2018</v>
      </c>
      <c r="B156" s="6" t="str">
        <f>'Detailed Car List + Stats'!C156</f>
        <v>Exomotive</v>
      </c>
      <c r="C156" s="6" t="str">
        <f>'Detailed Car List + Stats'!D156</f>
        <v>Exocet Sport V8 XP-5</v>
      </c>
      <c r="D156" s="6" t="str">
        <f>'Detailed Car List + Stats'!E156</f>
        <v>Track Toys</v>
      </c>
      <c r="E156" s="6" t="s">
        <v>138</v>
      </c>
      <c r="F156" s="6" t="str">
        <f>'Detailed Car List + Stats'!G156</f>
        <v>USA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6.5" customHeight="1">
      <c r="A157" s="6" t="str">
        <f>'Detailed Car List + Stats'!B157</f>
        <v>1967</v>
      </c>
      <c r="B157" s="6" t="str">
        <f>'Detailed Car List + Stats'!C157</f>
        <v>Ferrari</v>
      </c>
      <c r="C157" s="6" t="str">
        <f>'Detailed Car List + Stats'!D157</f>
        <v>#24 Ferrari Spa 330 P4</v>
      </c>
      <c r="D157" s="6" t="str">
        <f>'Detailed Car List + Stats'!E157</f>
        <v>Classic Racers</v>
      </c>
      <c r="E157" s="6" t="s">
        <v>78</v>
      </c>
      <c r="F157" s="6" t="str">
        <f>'Detailed Car List + Stats'!G157</f>
        <v>Italy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6.5" customHeight="1">
      <c r="A158" s="6" t="str">
        <f>'Detailed Car List + Stats'!B158</f>
        <v>1962</v>
      </c>
      <c r="B158" s="6" t="str">
        <f>'Detailed Car List + Stats'!C158</f>
        <v>Ferrari</v>
      </c>
      <c r="C158" s="6" t="str">
        <f>'Detailed Car List + Stats'!D158</f>
        <v>250 GT Berlinetta Lusso</v>
      </c>
      <c r="D158" s="6" t="str">
        <f>'Detailed Car List + Stats'!E158</f>
        <v>Rare Classics</v>
      </c>
      <c r="E158" s="6" t="s">
        <v>28</v>
      </c>
      <c r="F158" s="6" t="str">
        <f>'Detailed Car List + Stats'!G158</f>
        <v>Italy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6.5" customHeight="1">
      <c r="A159" s="6" t="str">
        <f>'Detailed Car List + Stats'!B159</f>
        <v>1962</v>
      </c>
      <c r="B159" s="6" t="str">
        <f>'Detailed Car List + Stats'!C159</f>
        <v>Ferrari</v>
      </c>
      <c r="C159" s="6" t="str">
        <f>'Detailed Car List + Stats'!D159</f>
        <v>250 GTO</v>
      </c>
      <c r="D159" s="6" t="str">
        <f>'Detailed Car List + Stats'!E159</f>
        <v>Classic Racers</v>
      </c>
      <c r="E159" s="6" t="s">
        <v>28</v>
      </c>
      <c r="F159" s="6" t="str">
        <f>'Detailed Car List + Stats'!G159</f>
        <v>Italy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6.5" customHeight="1">
      <c r="A160" s="6" t="str">
        <f>'Detailed Car List + Stats'!B160</f>
        <v>1967</v>
      </c>
      <c r="B160" s="6" t="str">
        <f>'Detailed Car List + Stats'!C160</f>
        <v>Ferrari</v>
      </c>
      <c r="C160" s="6" t="str">
        <f>'Detailed Car List + Stats'!D160</f>
        <v>275 GTB4 Spider</v>
      </c>
      <c r="D160" s="6" t="str">
        <f>'Detailed Car List + Stats'!E160</f>
        <v>Rare Classics</v>
      </c>
      <c r="E160" s="6" t="s">
        <v>35</v>
      </c>
      <c r="F160" s="6" t="str">
        <f>'Detailed Car List + Stats'!G160</f>
        <v>Italy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6.5" customHeight="1">
      <c r="A161" s="6" t="str">
        <f>'Detailed Car List + Stats'!B161</f>
        <v>1984</v>
      </c>
      <c r="B161" s="6" t="str">
        <f>'Detailed Car List + Stats'!C161</f>
        <v>Ferrari</v>
      </c>
      <c r="C161" s="6" t="str">
        <f>'Detailed Car List + Stats'!D161</f>
        <v>288 GTO</v>
      </c>
      <c r="D161" s="6" t="str">
        <f>'Detailed Car List + Stats'!E161</f>
        <v>Retro Supercars</v>
      </c>
      <c r="E161" s="6" t="s">
        <v>78</v>
      </c>
      <c r="F161" s="6" t="str">
        <f>'Detailed Car List + Stats'!G161</f>
        <v>Italy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6.5" customHeight="1">
      <c r="A162" s="6" t="str">
        <f>'Detailed Car List + Stats'!B162</f>
        <v>2022</v>
      </c>
      <c r="B162" s="6" t="str">
        <f>'Detailed Car List + Stats'!C162</f>
        <v>Ferrari</v>
      </c>
      <c r="C162" s="6" t="str">
        <f>'Detailed Car List + Stats'!D162</f>
        <v>296 GTB</v>
      </c>
      <c r="D162" s="6" t="str">
        <f>'Detailed Car List + Stats'!E162</f>
        <v>Modern Supercars</v>
      </c>
      <c r="E162" s="6" t="s">
        <v>138</v>
      </c>
      <c r="F162" s="6" t="str">
        <f>'Detailed Car List + Stats'!G162</f>
        <v>Italy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6.5" customHeight="1">
      <c r="A163" s="6" t="str">
        <f>'Detailed Car List + Stats'!B163</f>
        <v>2007</v>
      </c>
      <c r="B163" s="6" t="str">
        <f>'Detailed Car List + Stats'!C163</f>
        <v>Ferrari</v>
      </c>
      <c r="C163" s="6" t="str">
        <f>'Detailed Car List + Stats'!D163</f>
        <v>430 Scuderia</v>
      </c>
      <c r="D163" s="6" t="str">
        <f>'Detailed Car List + Stats'!E163</f>
        <v>Modern Supercars</v>
      </c>
      <c r="E163" s="6" t="s">
        <v>53</v>
      </c>
      <c r="F163" s="6" t="str">
        <f>'Detailed Car List + Stats'!G163</f>
        <v>Italy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6.5" customHeight="1">
      <c r="A164" s="6" t="str">
        <f>'Detailed Car List + Stats'!B164</f>
        <v>2009</v>
      </c>
      <c r="B164" s="6" t="str">
        <f>'Detailed Car List + Stats'!C164</f>
        <v>Ferrari</v>
      </c>
      <c r="C164" s="6" t="str">
        <f>'Detailed Car List + Stats'!D164</f>
        <v>458 Italia</v>
      </c>
      <c r="D164" s="6" t="str">
        <f>'Detailed Car List + Stats'!E164</f>
        <v>Modern Supercars</v>
      </c>
      <c r="E164" s="6" t="s">
        <v>53</v>
      </c>
      <c r="F164" s="6" t="str">
        <f>'Detailed Car List + Stats'!G164</f>
        <v>Italy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6.5" customHeight="1">
      <c r="A165" s="6" t="str">
        <f>'Detailed Car List + Stats'!B165</f>
        <v>2013</v>
      </c>
      <c r="B165" s="6" t="str">
        <f>'Detailed Car List + Stats'!C165</f>
        <v>Ferrari</v>
      </c>
      <c r="C165" s="6" t="str">
        <f>'Detailed Car List + Stats'!D165</f>
        <v>458 Speciale</v>
      </c>
      <c r="D165" s="6" t="str">
        <f>'Detailed Car List + Stats'!E165</f>
        <v>Track Toys</v>
      </c>
      <c r="E165" s="6" t="s">
        <v>53</v>
      </c>
      <c r="F165" s="6" t="str">
        <f>'Detailed Car List + Stats'!G165</f>
        <v>Italy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6.5" customHeight="1">
      <c r="A166" s="6" t="str">
        <f>'Detailed Car List + Stats'!B166</f>
        <v>2015</v>
      </c>
      <c r="B166" s="6" t="str">
        <f>'Detailed Car List + Stats'!C166</f>
        <v>Ferrari</v>
      </c>
      <c r="C166" s="6" t="str">
        <f>'Detailed Car List + Stats'!D166</f>
        <v>488 GTB</v>
      </c>
      <c r="D166" s="6" t="str">
        <f>'Detailed Car List + Stats'!E166</f>
        <v>Modern Supercars</v>
      </c>
      <c r="E166" s="6" t="s">
        <v>53</v>
      </c>
      <c r="F166" s="6" t="str">
        <f>'Detailed Car List + Stats'!G166</f>
        <v>Italy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6.5" customHeight="1">
      <c r="A167" s="6" t="str">
        <f>'Detailed Car List + Stats'!B167</f>
        <v>2019</v>
      </c>
      <c r="B167" s="6" t="str">
        <f>'Detailed Car List + Stats'!C167</f>
        <v>Ferrari</v>
      </c>
      <c r="C167" s="6" t="str">
        <f>'Detailed Car List + Stats'!D167</f>
        <v>488 Pista</v>
      </c>
      <c r="D167" s="6" t="str">
        <f>'Detailed Car List + Stats'!E167</f>
        <v>Track Toys</v>
      </c>
      <c r="E167" s="6" t="s">
        <v>138</v>
      </c>
      <c r="F167" s="6" t="str">
        <f>'Detailed Car List + Stats'!G167</f>
        <v>Italy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6.5" customHeight="1">
      <c r="A168" s="6" t="str">
        <f>'Detailed Car List + Stats'!B168</f>
        <v>1970</v>
      </c>
      <c r="B168" s="6" t="str">
        <f>'Detailed Car List + Stats'!C168</f>
        <v>Ferrari</v>
      </c>
      <c r="C168" s="6" t="str">
        <f>'Detailed Car List + Stats'!D168</f>
        <v>512 S</v>
      </c>
      <c r="D168" s="6" t="str">
        <f>'Detailed Car List + Stats'!E168</f>
        <v>Classic Racers</v>
      </c>
      <c r="E168" s="6" t="s">
        <v>53</v>
      </c>
      <c r="F168" s="6" t="str">
        <f>'Detailed Car List + Stats'!G168</f>
        <v>Italy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6.5" customHeight="1">
      <c r="A169" s="6" t="str">
        <f>'Detailed Car List + Stats'!B169</f>
        <v>1992</v>
      </c>
      <c r="B169" s="6" t="str">
        <f>'Detailed Car List + Stats'!C169</f>
        <v>Ferrari</v>
      </c>
      <c r="C169" s="6" t="str">
        <f>'Detailed Car List + Stats'!D169</f>
        <v>512 TR</v>
      </c>
      <c r="D169" s="6" t="str">
        <f>'Detailed Car List + Stats'!E169</f>
        <v>Retro Supercars</v>
      </c>
      <c r="E169" s="6" t="s">
        <v>78</v>
      </c>
      <c r="F169" s="6" t="str">
        <f>'Detailed Car List + Stats'!G169</f>
        <v>Italy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6.5" customHeight="1">
      <c r="A170" s="6" t="str">
        <f>'Detailed Car List + Stats'!B170</f>
        <v>2010</v>
      </c>
      <c r="B170" s="6" t="str">
        <f>'Detailed Car List + Stats'!C170</f>
        <v>Ferrari</v>
      </c>
      <c r="C170" s="6" t="str">
        <f>'Detailed Car List + Stats'!D170</f>
        <v>599XX</v>
      </c>
      <c r="D170" s="6" t="str">
        <f>'Detailed Car List + Stats'!E170</f>
        <v>Extreme Track Toys</v>
      </c>
      <c r="E170" s="6" t="s">
        <v>138</v>
      </c>
      <c r="F170" s="6" t="str">
        <f>'Detailed Car List + Stats'!G170</f>
        <v>Italy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6.5" customHeight="1">
      <c r="A171" s="6" t="str">
        <f>'Detailed Car List + Stats'!B171</f>
        <v>2012</v>
      </c>
      <c r="B171" s="6" t="str">
        <f>'Detailed Car List + Stats'!C171</f>
        <v>Ferrari</v>
      </c>
      <c r="C171" s="6" t="str">
        <f>'Detailed Car List + Stats'!D171</f>
        <v>599XX Evolution</v>
      </c>
      <c r="D171" s="6" t="str">
        <f>'Detailed Car List + Stats'!E171</f>
        <v>Extreme Track Toys</v>
      </c>
      <c r="E171" s="6" t="s">
        <v>138</v>
      </c>
      <c r="F171" s="6" t="str">
        <f>'Detailed Car List + Stats'!G171</f>
        <v>Italy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6.5" customHeight="1">
      <c r="A172" s="6" t="str">
        <f>'Detailed Car List + Stats'!B172</f>
        <v>2017</v>
      </c>
      <c r="B172" s="6" t="str">
        <f>'Detailed Car List + Stats'!C172</f>
        <v>Ferrari</v>
      </c>
      <c r="C172" s="6" t="str">
        <f>'Detailed Car List + Stats'!D172</f>
        <v>812 Superfast</v>
      </c>
      <c r="D172" s="6" t="str">
        <f>'Detailed Car List + Stats'!E172</f>
        <v>Super GT</v>
      </c>
      <c r="E172" s="6" t="s">
        <v>53</v>
      </c>
      <c r="F172" s="6" t="str">
        <f>'Detailed Car List + Stats'!G172</f>
        <v>Italy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6.5" customHeight="1">
      <c r="A173" s="6" t="str">
        <f>'Detailed Car List + Stats'!B173</f>
        <v>1969</v>
      </c>
      <c r="B173" s="6" t="str">
        <f>'Detailed Car List + Stats'!C173</f>
        <v>Ferrari</v>
      </c>
      <c r="C173" s="6" t="str">
        <f>'Detailed Car List + Stats'!D173</f>
        <v>Dino 246 GT</v>
      </c>
      <c r="D173" s="6" t="str">
        <f>'Detailed Car List + Stats'!E173</f>
        <v>Rare Classics</v>
      </c>
      <c r="E173" s="6" t="s">
        <v>28</v>
      </c>
      <c r="F173" s="6" t="str">
        <f>'Detailed Car List + Stats'!G173</f>
        <v>Italy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6.5" customHeight="1">
      <c r="A174" s="6" t="str">
        <f>'Detailed Car List + Stats'!B174</f>
        <v>2002</v>
      </c>
      <c r="B174" s="6" t="str">
        <f>'Detailed Car List + Stats'!C174</f>
        <v>Ferrari</v>
      </c>
      <c r="C174" s="6" t="str">
        <f>'Detailed Car List + Stats'!D174</f>
        <v>Enzo Ferrari</v>
      </c>
      <c r="D174" s="6" t="str">
        <f>'Detailed Car List + Stats'!E174</f>
        <v>Retro Supercars</v>
      </c>
      <c r="E174" s="6" t="s">
        <v>53</v>
      </c>
      <c r="F174" s="6" t="str">
        <f>'Detailed Car List + Stats'!G174</f>
        <v>Italy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6.5" customHeight="1">
      <c r="A175" s="6" t="str">
        <f>'Detailed Car List + Stats'!B175</f>
        <v>2015</v>
      </c>
      <c r="B175" s="6" t="str">
        <f>'Detailed Car List + Stats'!C175</f>
        <v>Ferrari</v>
      </c>
      <c r="C175" s="6" t="str">
        <f>'Detailed Car List + Stats'!D175</f>
        <v>F12tdf</v>
      </c>
      <c r="D175" s="6" t="str">
        <f>'Detailed Car List + Stats'!E175</f>
        <v>Super GT</v>
      </c>
      <c r="E175" s="6" t="s">
        <v>53</v>
      </c>
      <c r="F175" s="6" t="str">
        <f>'Detailed Car List + Stats'!G175</f>
        <v>Italy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6.5" customHeight="1">
      <c r="A176" s="6" t="str">
        <f>'Detailed Car List + Stats'!B176</f>
        <v>1994</v>
      </c>
      <c r="B176" s="6" t="str">
        <f>'Detailed Car List + Stats'!C176</f>
        <v>Ferrari</v>
      </c>
      <c r="C176" s="6" t="str">
        <f>'Detailed Car List + Stats'!D176</f>
        <v>F355 Berlinetta</v>
      </c>
      <c r="D176" s="6" t="str">
        <f>'Detailed Car List + Stats'!E176</f>
        <v>Retro Supercars</v>
      </c>
      <c r="E176" s="6" t="s">
        <v>35</v>
      </c>
      <c r="F176" s="6" t="str">
        <f>'Detailed Car List + Stats'!G176</f>
        <v>Italy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6.5" customHeight="1">
      <c r="A177" s="6" t="str">
        <f>'Detailed Car List + Stats'!B177</f>
        <v>1987</v>
      </c>
      <c r="B177" s="6" t="str">
        <f>'Detailed Car List + Stats'!C177</f>
        <v>Ferrari</v>
      </c>
      <c r="C177" s="6" t="str">
        <f>'Detailed Car List + Stats'!D177</f>
        <v>F40</v>
      </c>
      <c r="D177" s="6" t="str">
        <f>'Detailed Car List + Stats'!E177</f>
        <v>Retro Supercars</v>
      </c>
      <c r="E177" s="6" t="s">
        <v>78</v>
      </c>
      <c r="F177" s="6" t="str">
        <f>'Detailed Car List + Stats'!G177</f>
        <v>Italy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6.5" customHeight="1">
      <c r="A178" s="6" t="str">
        <f>'Detailed Car List + Stats'!B178</f>
        <v>1989</v>
      </c>
      <c r="B178" s="6" t="str">
        <f>'Detailed Car List + Stats'!C178</f>
        <v>Ferrari</v>
      </c>
      <c r="C178" s="6" t="str">
        <f>'Detailed Car List + Stats'!D178</f>
        <v>F40 Competizione</v>
      </c>
      <c r="D178" s="6" t="str">
        <f>'Detailed Car List + Stats'!E178</f>
        <v>Retro Racers</v>
      </c>
      <c r="E178" s="6" t="s">
        <v>108</v>
      </c>
      <c r="F178" s="6" t="str">
        <f>'Detailed Car List + Stats'!G178</f>
        <v>Italy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6.5" customHeight="1">
      <c r="A179" s="6" t="str">
        <f>'Detailed Car List + Stats'!B179</f>
        <v>1995</v>
      </c>
      <c r="B179" s="6" t="str">
        <f>'Detailed Car List + Stats'!C179</f>
        <v>Ferrari</v>
      </c>
      <c r="C179" s="6" t="str">
        <f>'Detailed Car List + Stats'!D179</f>
        <v>F50</v>
      </c>
      <c r="D179" s="6" t="str">
        <f>'Detailed Car List + Stats'!E179</f>
        <v>Retro Supercars</v>
      </c>
      <c r="E179" s="6" t="s">
        <v>78</v>
      </c>
      <c r="F179" s="6" t="str">
        <f>'Detailed Car List + Stats'!G179</f>
        <v>Italy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6.5" customHeight="1">
      <c r="A180" s="6" t="str">
        <f>'Detailed Car List + Stats'!B180</f>
        <v>1996</v>
      </c>
      <c r="B180" s="6" t="str">
        <f>'Detailed Car List + Stats'!C180</f>
        <v>Ferrari</v>
      </c>
      <c r="C180" s="6" t="str">
        <f>'Detailed Car List + Stats'!D180</f>
        <v>F50 GT</v>
      </c>
      <c r="D180" s="6" t="str">
        <f>'Detailed Car List + Stats'!E180</f>
        <v>Extreme Track Toys</v>
      </c>
      <c r="E180" s="6" t="s">
        <v>108</v>
      </c>
      <c r="F180" s="6" t="str">
        <f>'Detailed Car List + Stats'!G180</f>
        <v>Italy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6.5" customHeight="1">
      <c r="A181" s="6" t="str">
        <f>'Detailed Car List + Stats'!B181</f>
        <v>2019</v>
      </c>
      <c r="B181" s="6" t="str">
        <f>'Detailed Car List + Stats'!C181</f>
        <v>Ferrari</v>
      </c>
      <c r="C181" s="6" t="str">
        <f>'Detailed Car List + Stats'!D181</f>
        <v>F8 Tributo</v>
      </c>
      <c r="D181" s="6" t="str">
        <f>'Detailed Car List + Stats'!E181</f>
        <v>Modern Supercars</v>
      </c>
      <c r="E181" s="6" t="s">
        <v>138</v>
      </c>
      <c r="F181" s="6" t="str">
        <f>'Detailed Car List + Stats'!G181</f>
        <v>Italy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6.5" customHeight="1">
      <c r="A182" s="6" t="str">
        <f>'Detailed Car List + Stats'!B182</f>
        <v>2025</v>
      </c>
      <c r="B182" s="6" t="str">
        <f>'Detailed Car List + Stats'!C182</f>
        <v>Ferrari</v>
      </c>
      <c r="C182" s="6" t="str">
        <f>'Detailed Car List + Stats'!D182</f>
        <v>F80</v>
      </c>
      <c r="D182" s="6" t="str">
        <f>'Detailed Car List + Stats'!E182</f>
        <v>Hypercars</v>
      </c>
      <c r="E182" s="6" t="s">
        <v>108</v>
      </c>
      <c r="F182" s="6" t="str">
        <f>'Detailed Car List + Stats'!G182</f>
        <v>Italy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6.5" customHeight="1">
      <c r="A183" s="6" t="str">
        <f>'Detailed Car List + Stats'!B183</f>
        <v>2005</v>
      </c>
      <c r="B183" s="6" t="str">
        <f>'Detailed Car List + Stats'!C183</f>
        <v>Ferrari</v>
      </c>
      <c r="C183" s="6" t="str">
        <f>'Detailed Car List + Stats'!D183</f>
        <v>FXX</v>
      </c>
      <c r="D183" s="6" t="str">
        <f>'Detailed Car List + Stats'!E183</f>
        <v>Extreme Track Toys</v>
      </c>
      <c r="E183" s="6" t="s">
        <v>138</v>
      </c>
      <c r="F183" s="6" t="str">
        <f>'Detailed Car List + Stats'!G183</f>
        <v>Italy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6.5" customHeight="1">
      <c r="A184" s="6" t="str">
        <f>'Detailed Car List + Stats'!B184</f>
        <v>2014</v>
      </c>
      <c r="B184" s="6" t="str">
        <f>'Detailed Car List + Stats'!C184</f>
        <v>Ferrari</v>
      </c>
      <c r="C184" s="6" t="str">
        <f>'Detailed Car List + Stats'!D184</f>
        <v>FXX K</v>
      </c>
      <c r="D184" s="6" t="str">
        <f>'Detailed Car List + Stats'!E184</f>
        <v>Extreme Track Toys</v>
      </c>
      <c r="E184" s="6" t="s">
        <v>108</v>
      </c>
      <c r="F184" s="6" t="str">
        <f>'Detailed Car List + Stats'!G184</f>
        <v>Italy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6.5" customHeight="1">
      <c r="A185" s="6" t="str">
        <f>'Detailed Car List + Stats'!B185</f>
        <v>2018</v>
      </c>
      <c r="B185" s="6" t="str">
        <f>'Detailed Car List + Stats'!C185</f>
        <v>Ferrari</v>
      </c>
      <c r="C185" s="6" t="str">
        <f>'Detailed Car List + Stats'!D185</f>
        <v>FXX-K Evo</v>
      </c>
      <c r="D185" s="6" t="str">
        <f>'Detailed Car List + Stats'!E185</f>
        <v>Extreme Track Toys</v>
      </c>
      <c r="E185" s="6" t="s">
        <v>108</v>
      </c>
      <c r="F185" s="6" t="str">
        <f>'Detailed Car List + Stats'!G185</f>
        <v>Italy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6.5" customHeight="1">
      <c r="A186" s="6" t="str">
        <f>'Detailed Car List + Stats'!B186</f>
        <v>2018</v>
      </c>
      <c r="B186" s="6" t="str">
        <f>'Detailed Car List + Stats'!C186</f>
        <v>Ferrari</v>
      </c>
      <c r="C186" s="6" t="str">
        <f>'Detailed Car List + Stats'!D186</f>
        <v>FXX-K Evo Welcome Pack</v>
      </c>
      <c r="D186" s="6" t="str">
        <f>'Detailed Car List + Stats'!E186</f>
        <v>Extreme Track Toys</v>
      </c>
      <c r="E186" s="6" t="s">
        <v>108</v>
      </c>
      <c r="F186" s="6" t="str">
        <f>'Detailed Car List + Stats'!G186</f>
        <v>Italy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6.5" customHeight="1">
      <c r="A187" s="6" t="str">
        <f>'Detailed Car List + Stats'!B187</f>
        <v>2017</v>
      </c>
      <c r="B187" s="6" t="str">
        <f>'Detailed Car List + Stats'!C187</f>
        <v>Ferrari</v>
      </c>
      <c r="C187" s="6" t="str">
        <f>'Detailed Car List + Stats'!D187</f>
        <v>J50</v>
      </c>
      <c r="D187" s="6" t="str">
        <f>'Detailed Car List + Stats'!E187</f>
        <v>Modern Supercars</v>
      </c>
      <c r="E187" s="6" t="s">
        <v>53</v>
      </c>
      <c r="F187" s="6" t="str">
        <f>'Detailed Car List + Stats'!G187</f>
        <v>Italy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6.5" customHeight="1">
      <c r="A188" s="6" t="str">
        <f>'Detailed Car List + Stats'!B188</f>
        <v>2017</v>
      </c>
      <c r="B188" s="6" t="str">
        <f>'Detailed Car List + Stats'!C188</f>
        <v>Ferrari</v>
      </c>
      <c r="C188" s="6" t="str">
        <f>'Detailed Car List + Stats'!D188</f>
        <v>J50 Preorder Car</v>
      </c>
      <c r="D188" s="6" t="str">
        <f>'Detailed Car List + Stats'!E188</f>
        <v>Modern Supercars</v>
      </c>
      <c r="E188" s="6" t="s">
        <v>53</v>
      </c>
      <c r="F188" s="6" t="str">
        <f>'Detailed Car List + Stats'!G188</f>
        <v>Italy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6.5" customHeight="1">
      <c r="A189" s="6" t="str">
        <f>'Detailed Car List + Stats'!B189</f>
        <v>2013</v>
      </c>
      <c r="B189" s="6" t="str">
        <f>'Detailed Car List + Stats'!C189</f>
        <v>Ferrari</v>
      </c>
      <c r="C189" s="6" t="str">
        <f>'Detailed Car List + Stats'!D189</f>
        <v>LaFerrari</v>
      </c>
      <c r="D189" s="6" t="str">
        <f>'Detailed Car List + Stats'!E189</f>
        <v>Hypercars</v>
      </c>
      <c r="E189" s="6" t="s">
        <v>138</v>
      </c>
      <c r="F189" s="6" t="str">
        <f>'Detailed Car List + Stats'!G189</f>
        <v>Italy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6.5" customHeight="1">
      <c r="A190" s="6" t="str">
        <f>'Detailed Car List + Stats'!B190</f>
        <v>2019</v>
      </c>
      <c r="B190" s="6" t="str">
        <f>'Detailed Car List + Stats'!C190</f>
        <v>Ferrari</v>
      </c>
      <c r="C190" s="6" t="str">
        <f>'Detailed Car List + Stats'!D190</f>
        <v>Monza SP2</v>
      </c>
      <c r="D190" s="6" t="str">
        <f>'Detailed Car List + Stats'!E190</f>
        <v>Super GT</v>
      </c>
      <c r="E190" s="6" t="s">
        <v>53</v>
      </c>
      <c r="F190" s="6" t="str">
        <f>'Detailed Car List + Stats'!G190</f>
        <v>Italy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6.5" customHeight="1">
      <c r="A191" s="6" t="str">
        <f>'Detailed Car List + Stats'!B191</f>
        <v>2018</v>
      </c>
      <c r="B191" s="6" t="str">
        <f>'Detailed Car List + Stats'!C191</f>
        <v>Ferrari</v>
      </c>
      <c r="C191" s="6" t="str">
        <f>'Detailed Car List + Stats'!D191</f>
        <v>Portofino</v>
      </c>
      <c r="D191" s="6" t="str">
        <f>'Detailed Car List + Stats'!E191</f>
        <v>Super GT</v>
      </c>
      <c r="E191" s="6" t="s">
        <v>53</v>
      </c>
      <c r="F191" s="6" t="str">
        <f>'Detailed Car List + Stats'!G191</f>
        <v>Italy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6.5" customHeight="1">
      <c r="A192" s="6" t="str">
        <f>'Detailed Car List + Stats'!B192</f>
        <v>2020</v>
      </c>
      <c r="B192" s="6" t="str">
        <f>'Detailed Car List + Stats'!C192</f>
        <v>Ferrari</v>
      </c>
      <c r="C192" s="6" t="str">
        <f>'Detailed Car List + Stats'!D192</f>
        <v>Roma</v>
      </c>
      <c r="D192" s="6" t="str">
        <f>'Detailed Car List + Stats'!E192</f>
        <v>Super GT</v>
      </c>
      <c r="E192" s="6" t="s">
        <v>53</v>
      </c>
      <c r="F192" s="6" t="str">
        <f>'Detailed Car List + Stats'!G192</f>
        <v>Italy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6.5" customHeight="1">
      <c r="A193" s="6" t="str">
        <f>'Detailed Car List + Stats'!B193</f>
        <v>2020</v>
      </c>
      <c r="B193" s="6" t="str">
        <f>'Detailed Car List + Stats'!C193</f>
        <v>Ferrari</v>
      </c>
      <c r="C193" s="6" t="str">
        <f>'Detailed Car List + Stats'!D193</f>
        <v>SF90 Stradale</v>
      </c>
      <c r="D193" s="6" t="str">
        <f>'Detailed Car List + Stats'!E193</f>
        <v>Hypercars</v>
      </c>
      <c r="E193" s="6" t="s">
        <v>138</v>
      </c>
      <c r="F193" s="6" t="str">
        <f>'Detailed Car List + Stats'!G193</f>
        <v>Italy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6.5" customHeight="1">
      <c r="A194" s="6" t="str">
        <f>'Detailed Car List + Stats'!B194</f>
        <v>2014</v>
      </c>
      <c r="B194" s="6" t="str">
        <f>'Detailed Car List + Stats'!C194</f>
        <v>Ford</v>
      </c>
      <c r="C194" s="6" t="str">
        <f>'Detailed Car List + Stats'!D194</f>
        <v>#11 Rockstar F-150 Trophy Truck</v>
      </c>
      <c r="D194" s="6" t="str">
        <f>'Detailed Car List + Stats'!E194</f>
        <v>Unlimited Offroad</v>
      </c>
      <c r="E194" s="6" t="s">
        <v>78</v>
      </c>
      <c r="F194" s="6" t="str">
        <f>'Detailed Car List + Stats'!G194</f>
        <v>USA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6.5" customHeight="1">
      <c r="A195" s="6" t="str">
        <f>'Detailed Car List + Stats'!B195</f>
        <v>2017</v>
      </c>
      <c r="B195" s="6" t="str">
        <f>'Detailed Car List + Stats'!C195</f>
        <v>Ford</v>
      </c>
      <c r="C195" s="6" t="str">
        <f>'Detailed Car List + Stats'!D195</f>
        <v>#14 Rahal Letterman Lanigan Racing Fiesta</v>
      </c>
      <c r="D195" s="6" t="str">
        <f>'Detailed Car List + Stats'!E195</f>
        <v>Rally Monsters</v>
      </c>
      <c r="E195" s="6" t="s">
        <v>53</v>
      </c>
      <c r="F195" s="6" t="str">
        <f>'Detailed Car List + Stats'!G195</f>
        <v>USA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6.5" customHeight="1">
      <c r="A196" s="6" t="str">
        <f>'Detailed Car List + Stats'!B196</f>
        <v>1966</v>
      </c>
      <c r="B196" s="6" t="str">
        <f>'Detailed Car List + Stats'!C196</f>
        <v>Ford</v>
      </c>
      <c r="C196" s="6" t="str">
        <f>'Detailed Car List + Stats'!D196</f>
        <v>#2 GT40 Mk II</v>
      </c>
      <c r="D196" s="6" t="str">
        <f>'Detailed Car List + Stats'!E196</f>
        <v>Classic Racers</v>
      </c>
      <c r="E196" s="6" t="s">
        <v>78</v>
      </c>
      <c r="F196" s="6" t="str">
        <f>'Detailed Car List + Stats'!G196</f>
        <v>USA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6.5" customHeight="1">
      <c r="A197" s="6" t="str">
        <f>'Detailed Car List + Stats'!B197</f>
        <v>2020</v>
      </c>
      <c r="B197" s="6" t="str">
        <f>'Detailed Car List + Stats'!C197</f>
        <v>Ford</v>
      </c>
      <c r="C197" s="6" t="str">
        <f>'Detailed Car List + Stats'!D197</f>
        <v>#2069 Ford Performance Bronco R</v>
      </c>
      <c r="D197" s="6" t="str">
        <f>'Detailed Car List + Stats'!E197</f>
        <v>Offroad</v>
      </c>
      <c r="E197" s="6" t="s">
        <v>28</v>
      </c>
      <c r="F197" s="6" t="str">
        <f>'Detailed Car List + Stats'!G197</f>
        <v>USA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6.5" customHeight="1">
      <c r="A198" s="6" t="str">
        <f>'Detailed Car List + Stats'!B198</f>
        <v>2017</v>
      </c>
      <c r="B198" s="6" t="str">
        <f>'Detailed Car List + Stats'!C198</f>
        <v>Ford</v>
      </c>
      <c r="C198" s="6" t="str">
        <f>'Detailed Car List + Stats'!D198</f>
        <v>#25 'Brocky' Ultra4 Bronco RTR</v>
      </c>
      <c r="D198" s="6" t="str">
        <f>'Detailed Car List + Stats'!E198</f>
        <v>Unlimited Offroad</v>
      </c>
      <c r="E198" s="6" t="s">
        <v>78</v>
      </c>
      <c r="F198" s="6" t="str">
        <f>'Detailed Car List + Stats'!G198</f>
        <v>USA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6.5" customHeight="1">
      <c r="A199" s="6" t="str">
        <f>'Detailed Car List + Stats'!B199</f>
        <v>2001</v>
      </c>
      <c r="B199" s="6" t="str">
        <f>'Detailed Car List + Stats'!C199</f>
        <v>Ford</v>
      </c>
      <c r="C199" s="6" t="str">
        <f>'Detailed Car List + Stats'!D199</f>
        <v>#4 Ford Focus RS</v>
      </c>
      <c r="D199" s="6" t="str">
        <f>'Detailed Car List + Stats'!E199</f>
        <v>Rally Monsters</v>
      </c>
      <c r="E199" s="6" t="s">
        <v>78</v>
      </c>
      <c r="F199" s="6" t="str">
        <f>'Detailed Car List + Stats'!G199</f>
        <v>USA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6.5" customHeight="1">
      <c r="A200" s="6" t="str">
        <f>'Detailed Car List + Stats'!B200</f>
        <v>1977</v>
      </c>
      <c r="B200" s="6" t="str">
        <f>'Detailed Car List + Stats'!C200</f>
        <v>Ford</v>
      </c>
      <c r="C200" s="6" t="str">
        <f>'Detailed Car List + Stats'!D200</f>
        <v>#5 Escort RS1800 Mk II</v>
      </c>
      <c r="D200" s="6" t="str">
        <f>'Detailed Car List + Stats'!E200</f>
        <v>Classic Rally</v>
      </c>
      <c r="E200" s="6" t="s">
        <v>35</v>
      </c>
      <c r="F200" s="6" t="str">
        <f>'Detailed Car List + Stats'!G200</f>
        <v>USA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6.5" customHeight="1">
      <c r="A201" s="6" t="str">
        <f>'Detailed Car List + Stats'!B201</f>
        <v>2022</v>
      </c>
      <c r="B201" s="6" t="str">
        <f>'Detailed Car List + Stats'!C201</f>
        <v>Ford</v>
      </c>
      <c r="C201" s="6" t="str">
        <f>'Detailed Car List + Stats'!D201</f>
        <v>Bronco Raptor</v>
      </c>
      <c r="D201" s="6" t="str">
        <f>'Detailed Car List + Stats'!E201</f>
        <v>Pickups &amp; 4x4s</v>
      </c>
      <c r="E201" s="6" t="s">
        <v>28</v>
      </c>
      <c r="F201" s="6" t="str">
        <f>'Detailed Car List + Stats'!G201</f>
        <v>USA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6.5" customHeight="1">
      <c r="A202" s="6" t="str">
        <f>'Detailed Car List + Stats'!B202</f>
        <v>1973</v>
      </c>
      <c r="B202" s="6" t="str">
        <f>'Detailed Car List + Stats'!C202</f>
        <v>Ford</v>
      </c>
      <c r="C202" s="6" t="str">
        <f>'Detailed Car List + Stats'!D202</f>
        <v>Capri RS3100</v>
      </c>
      <c r="D202" s="6" t="str">
        <f>'Detailed Car List + Stats'!E202</f>
        <v>Classic Sports Cars</v>
      </c>
      <c r="E202" s="6" t="s">
        <v>31</v>
      </c>
      <c r="F202" s="6" t="str">
        <f>'Detailed Car List + Stats'!G202</f>
        <v>USA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6.5" customHeight="1">
      <c r="A203" s="6" t="str">
        <f>'Detailed Car List + Stats'!B203</f>
        <v>2010</v>
      </c>
      <c r="B203" s="6" t="str">
        <f>'Detailed Car List + Stats'!C203</f>
        <v>Ford</v>
      </c>
      <c r="C203" s="6" t="str">
        <f>'Detailed Car List + Stats'!D203</f>
        <v>Crown Victoria Police Interceptor</v>
      </c>
      <c r="D203" s="6" t="str">
        <f>'Detailed Car List + Stats'!E203</f>
        <v>Retro Muscle</v>
      </c>
      <c r="E203" s="6" t="s">
        <v>31</v>
      </c>
      <c r="F203" s="6" t="str">
        <f>'Detailed Car List + Stats'!G203</f>
        <v>USA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6.5" customHeight="1">
      <c r="A204" s="6" t="str">
        <f>'Detailed Car List + Stats'!B204</f>
        <v>1932</v>
      </c>
      <c r="B204" s="6" t="str">
        <f>'Detailed Car List + Stats'!C204</f>
        <v>Ford</v>
      </c>
      <c r="C204" s="6" t="str">
        <f>'Detailed Car List + Stats'!D204</f>
        <v>De Luxe Five-Window Coupe</v>
      </c>
      <c r="D204" s="6" t="str">
        <f>'Detailed Car List + Stats'!E204</f>
        <v>Rods &amp; Customs</v>
      </c>
      <c r="E204" s="6" t="s">
        <v>31</v>
      </c>
      <c r="F204" s="6" t="str">
        <f>'Detailed Car List + Stats'!G204</f>
        <v>USA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6.5" customHeight="1">
      <c r="A205" s="6" t="str">
        <f>'Detailed Car List + Stats'!B205</f>
        <v>1992</v>
      </c>
      <c r="B205" s="6" t="str">
        <f>'Detailed Car List + Stats'!C205</f>
        <v>Ford</v>
      </c>
      <c r="C205" s="6" t="str">
        <f>'Detailed Car List + Stats'!D205</f>
        <v>Escort RS Cosworth</v>
      </c>
      <c r="D205" s="6" t="str">
        <f>'Detailed Car List + Stats'!E205</f>
        <v>Retro Rally</v>
      </c>
      <c r="E205" s="6" t="s">
        <v>28</v>
      </c>
      <c r="F205" s="6" t="str">
        <f>'Detailed Car List + Stats'!G205</f>
        <v>USA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6.5" customHeight="1">
      <c r="A206" s="6" t="str">
        <f>'Detailed Car List + Stats'!B206</f>
        <v>2022</v>
      </c>
      <c r="B206" s="6" t="str">
        <f>'Detailed Car List + Stats'!C206</f>
        <v>Ford</v>
      </c>
      <c r="C206" s="6" t="str">
        <f>'Detailed Car List + Stats'!D206</f>
        <v>F-150 Lightning</v>
      </c>
      <c r="D206" s="6" t="str">
        <f>'Detailed Car List + Stats'!E206</f>
        <v>Pickups &amp; 4x4s</v>
      </c>
      <c r="E206" s="6" t="s">
        <v>28</v>
      </c>
      <c r="F206" s="6" t="str">
        <f>'Detailed Car List + Stats'!G206</f>
        <v>USA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6.5" customHeight="1">
      <c r="A207" s="6" t="str">
        <f>'Detailed Car List + Stats'!B207</f>
        <v>2023</v>
      </c>
      <c r="B207" s="6" t="str">
        <f>'Detailed Car List + Stats'!C207</f>
        <v>Ford</v>
      </c>
      <c r="C207" s="6" t="str">
        <f>'Detailed Car List + Stats'!D207</f>
        <v>F-150 Raptor R</v>
      </c>
      <c r="D207" s="6" t="str">
        <f>'Detailed Car List + Stats'!E207</f>
        <v>Pickups &amp; 4x4s</v>
      </c>
      <c r="E207" s="6" t="s">
        <v>35</v>
      </c>
      <c r="F207" s="6" t="str">
        <f>'Detailed Car List + Stats'!G207</f>
        <v>USA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6.5" customHeight="1">
      <c r="A208" s="6" t="str">
        <f>'Detailed Car List + Stats'!B208</f>
        <v>2023</v>
      </c>
      <c r="B208" s="6" t="str">
        <f>'Detailed Car List + Stats'!C208</f>
        <v>Ford</v>
      </c>
      <c r="C208" s="6" t="str">
        <f>'Detailed Car List + Stats'!D208</f>
        <v>F-150 Raptor R Welcome Pack</v>
      </c>
      <c r="D208" s="6" t="str">
        <f>'Detailed Car List + Stats'!E208</f>
        <v>Pickups &amp; 4x4s</v>
      </c>
      <c r="E208" s="6" t="s">
        <v>35</v>
      </c>
      <c r="F208" s="6" t="str">
        <f>'Detailed Car List + Stats'!G208</f>
        <v>USA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6.5" customHeight="1">
      <c r="A209" s="6" t="str">
        <f>'Detailed Car List + Stats'!B209</f>
        <v>2003</v>
      </c>
      <c r="B209" s="6" t="str">
        <f>'Detailed Car List + Stats'!C209</f>
        <v>Ford</v>
      </c>
      <c r="C209" s="6" t="str">
        <f>'Detailed Car List + Stats'!D209</f>
        <v>F-150 SVT Lightning</v>
      </c>
      <c r="D209" s="6" t="str">
        <f>'Detailed Car List + Stats'!E209</f>
        <v>Pickups &amp; 4x4s</v>
      </c>
      <c r="E209" s="6" t="s">
        <v>28</v>
      </c>
      <c r="F209" s="6" t="str">
        <f>'Detailed Car List + Stats'!G209</f>
        <v>USA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6.5" customHeight="1">
      <c r="A210" s="6" t="str">
        <f>'Detailed Car List + Stats'!B210</f>
        <v>1986</v>
      </c>
      <c r="B210" s="6" t="str">
        <f>'Detailed Car List + Stats'!C210</f>
        <v>Ford</v>
      </c>
      <c r="C210" s="6" t="str">
        <f>'Detailed Car List + Stats'!D210</f>
        <v>F-150 XLT Lariat</v>
      </c>
      <c r="D210" s="6" t="str">
        <f>'Detailed Car List + Stats'!E210</f>
        <v>Pickups &amp; 4x4s</v>
      </c>
      <c r="E210" s="6" t="s">
        <v>31</v>
      </c>
      <c r="F210" s="6" t="str">
        <f>'Detailed Car List + Stats'!G210</f>
        <v>USA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6.5" customHeight="1">
      <c r="A211" s="6" t="str">
        <f>'Detailed Car List + Stats'!B211</f>
        <v>1986</v>
      </c>
      <c r="B211" s="6" t="str">
        <f>'Detailed Car List + Stats'!C211</f>
        <v>Ford</v>
      </c>
      <c r="C211" s="6" t="str">
        <f>'Detailed Car List + Stats'!D211</f>
        <v>F-150 XLT Lariat Forza Edition</v>
      </c>
      <c r="D211" s="6" t="str">
        <f>'Detailed Car List + Stats'!E211</f>
        <v>Drift Cars</v>
      </c>
      <c r="E211" s="6" t="s">
        <v>138</v>
      </c>
      <c r="F211" s="6" t="str">
        <f>'Detailed Car List + Stats'!G211</f>
        <v>USA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6.5" customHeight="1">
      <c r="A212" s="6" t="str">
        <f>'Detailed Car List + Stats'!B212</f>
        <v>2023</v>
      </c>
      <c r="B212" s="6" t="str">
        <f>'Detailed Car List + Stats'!C212</f>
        <v>Ford</v>
      </c>
      <c r="C212" s="6" t="str">
        <f>'Detailed Car List + Stats'!D212</f>
        <v>Fiesta ST</v>
      </c>
      <c r="D212" s="6" t="str">
        <f>'Detailed Car List + Stats'!E212</f>
        <v>Hot Hatch</v>
      </c>
      <c r="E212" s="6" t="s">
        <v>28</v>
      </c>
      <c r="F212" s="6" t="str">
        <f>'Detailed Car List + Stats'!G212</f>
        <v>USA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6.5" customHeight="1">
      <c r="A213" s="6" t="str">
        <f>'Detailed Car List + Stats'!B213</f>
        <v>2003</v>
      </c>
      <c r="B213" s="6" t="str">
        <f>'Detailed Car List + Stats'!C213</f>
        <v>Ford</v>
      </c>
      <c r="C213" s="6" t="str">
        <f>'Detailed Car List + Stats'!D213</f>
        <v>Focus RS</v>
      </c>
      <c r="D213" s="6" t="str">
        <f>'Detailed Car List + Stats'!E213</f>
        <v>Retro Hot Hatch</v>
      </c>
      <c r="E213" s="6" t="s">
        <v>28</v>
      </c>
      <c r="F213" s="6" t="str">
        <f>'Detailed Car List + Stats'!G213</f>
        <v>USA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6.5" customHeight="1">
      <c r="A214" s="6" t="str">
        <f>'Detailed Car List + Stats'!B214</f>
        <v>2009</v>
      </c>
      <c r="B214" s="6" t="str">
        <f>'Detailed Car List + Stats'!C214</f>
        <v>Ford</v>
      </c>
      <c r="C214" s="6" t="str">
        <f>'Detailed Car List + Stats'!D214</f>
        <v>Focus RS</v>
      </c>
      <c r="D214" s="6" t="str">
        <f>'Detailed Car List + Stats'!E214</f>
        <v>Super Hot Hatch</v>
      </c>
      <c r="E214" s="6" t="s">
        <v>35</v>
      </c>
      <c r="F214" s="6" t="str">
        <f>'Detailed Car List + Stats'!G214</f>
        <v>USA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6.5" customHeight="1">
      <c r="A215" s="6" t="str">
        <f>'Detailed Car List + Stats'!B215</f>
        <v>2017</v>
      </c>
      <c r="B215" s="6" t="str">
        <f>'Detailed Car List + Stats'!C215</f>
        <v>Ford</v>
      </c>
      <c r="C215" s="6" t="str">
        <f>'Detailed Car List + Stats'!D215</f>
        <v>Focus RS</v>
      </c>
      <c r="D215" s="6" t="str">
        <f>'Detailed Car List + Stats'!E215</f>
        <v>Super Hot Hatch</v>
      </c>
      <c r="E215" s="6" t="s">
        <v>35</v>
      </c>
      <c r="F215" s="6" t="str">
        <f>'Detailed Car List + Stats'!G215</f>
        <v>USA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6.5" customHeight="1">
      <c r="A216" s="6" t="str">
        <f>'Detailed Car List + Stats'!B216</f>
        <v>2022</v>
      </c>
      <c r="B216" s="6" t="str">
        <f>'Detailed Car List + Stats'!C216</f>
        <v>Ford</v>
      </c>
      <c r="C216" s="6" t="str">
        <f>'Detailed Car List + Stats'!D216</f>
        <v>Focus ST</v>
      </c>
      <c r="D216" s="6" t="str">
        <f>'Detailed Car List + Stats'!E216</f>
        <v>Hot Hatch</v>
      </c>
      <c r="E216" s="6" t="s">
        <v>35</v>
      </c>
      <c r="F216" s="6" t="str">
        <f>'Detailed Car List + Stats'!G216</f>
        <v>USA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6.5" customHeight="1">
      <c r="A217" s="6" t="str">
        <f>'Detailed Car List + Stats'!B217</f>
        <v>2014</v>
      </c>
      <c r="B217" s="6" t="str">
        <f>'Detailed Car List + Stats'!C217</f>
        <v>Ford</v>
      </c>
      <c r="C217" s="6" t="str">
        <f>'Detailed Car List + Stats'!D217</f>
        <v>FPV Limited Edition Pursuit Ute</v>
      </c>
      <c r="D217" s="6" t="str">
        <f>'Detailed Car List + Stats'!E217</f>
        <v>Utility Heroes</v>
      </c>
      <c r="E217" s="6" t="s">
        <v>35</v>
      </c>
      <c r="F217" s="6" t="str">
        <f>'Detailed Car List + Stats'!G217</f>
        <v>USA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6.5" customHeight="1">
      <c r="A218" s="6" t="str">
        <f>'Detailed Car List + Stats'!B218</f>
        <v>2005</v>
      </c>
      <c r="B218" s="6" t="str">
        <f>'Detailed Car List + Stats'!C218</f>
        <v>Ford</v>
      </c>
      <c r="C218" s="6" t="str">
        <f>'Detailed Car List + Stats'!D218</f>
        <v>GT</v>
      </c>
      <c r="D218" s="6" t="str">
        <f>'Detailed Car List + Stats'!E218</f>
        <v>Retro Supercars</v>
      </c>
      <c r="E218" s="6" t="s">
        <v>78</v>
      </c>
      <c r="F218" s="6" t="str">
        <f>'Detailed Car List + Stats'!G218</f>
        <v>USA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6.5" customHeight="1">
      <c r="A219" s="6" t="str">
        <f>'Detailed Car List + Stats'!B219</f>
        <v>2017</v>
      </c>
      <c r="B219" s="6" t="str">
        <f>'Detailed Car List + Stats'!C219</f>
        <v>Ford</v>
      </c>
      <c r="C219" s="6" t="str">
        <f>'Detailed Car List + Stats'!D219</f>
        <v>GT</v>
      </c>
      <c r="D219" s="6" t="str">
        <f>'Detailed Car List + Stats'!E219</f>
        <v>Modern Supercars</v>
      </c>
      <c r="E219" s="6" t="s">
        <v>53</v>
      </c>
      <c r="F219" s="6" t="str">
        <f>'Detailed Car List + Stats'!G219</f>
        <v>USA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6.5" customHeight="1">
      <c r="A220" s="6" t="str">
        <f>'Detailed Car List + Stats'!B220</f>
        <v>2017</v>
      </c>
      <c r="B220" s="6" t="str">
        <f>'Detailed Car List + Stats'!C220</f>
        <v>Ford</v>
      </c>
      <c r="C220" s="6" t="str">
        <f>'Detailed Car List + Stats'!D220</f>
        <v>M-Sport Fiesta RS</v>
      </c>
      <c r="D220" s="6" t="str">
        <f>'Detailed Car List + Stats'!E220</f>
        <v>Rally Monsters</v>
      </c>
      <c r="E220" s="6" t="s">
        <v>53</v>
      </c>
      <c r="F220" s="6" t="str">
        <f>'Detailed Car List + Stats'!G220</f>
        <v>USA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6.5" customHeight="1">
      <c r="A221" s="6" t="str">
        <f>'Detailed Car List + Stats'!B221</f>
        <v>1969</v>
      </c>
      <c r="B221" s="6" t="str">
        <f>'Detailed Car List + Stats'!C221</f>
        <v>Ford</v>
      </c>
      <c r="C221" s="6" t="str">
        <f>'Detailed Car List + Stats'!D221</f>
        <v>Mustang Boss 302</v>
      </c>
      <c r="D221" s="6" t="str">
        <f>'Detailed Car List + Stats'!E221</f>
        <v>Classic Muscle</v>
      </c>
      <c r="E221" s="6" t="s">
        <v>28</v>
      </c>
      <c r="F221" s="6" t="str">
        <f>'Detailed Car List + Stats'!G221</f>
        <v>USA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6.5" customHeight="1">
      <c r="A222" s="6" t="str">
        <f>'Detailed Car List + Stats'!B222</f>
        <v>2024</v>
      </c>
      <c r="B222" s="6" t="str">
        <f>'Detailed Car List + Stats'!C222</f>
        <v>Ford</v>
      </c>
      <c r="C222" s="6" t="str">
        <f>'Detailed Car List + Stats'!D222</f>
        <v>Mustang Dark Horse</v>
      </c>
      <c r="D222" s="6" t="str">
        <f>'Detailed Car List + Stats'!E222</f>
        <v>Modern Muscle</v>
      </c>
      <c r="E222" s="6" t="s">
        <v>78</v>
      </c>
      <c r="F222" s="6" t="str">
        <f>'Detailed Car List + Stats'!G222</f>
        <v>USA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6.5" customHeight="1">
      <c r="A223" s="6" t="str">
        <f>'Detailed Car List + Stats'!B223</f>
        <v>2024</v>
      </c>
      <c r="B223" s="6" t="str">
        <f>'Detailed Car List + Stats'!C223</f>
        <v>Ford</v>
      </c>
      <c r="C223" s="6" t="str">
        <f>'Detailed Car List + Stats'!D223</f>
        <v>Mustang GT</v>
      </c>
      <c r="D223" s="6" t="str">
        <f>'Detailed Car List + Stats'!E223</f>
        <v>Modern Muscle</v>
      </c>
      <c r="E223" s="6" t="s">
        <v>78</v>
      </c>
      <c r="F223" s="6" t="str">
        <f>'Detailed Car List + Stats'!G223</f>
        <v>USA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6.5" customHeight="1">
      <c r="A224" s="6" t="str">
        <f>'Detailed Car List + Stats'!B224</f>
        <v>1968</v>
      </c>
      <c r="B224" s="6" t="str">
        <f>'Detailed Car List + Stats'!C224</f>
        <v>Ford</v>
      </c>
      <c r="C224" s="6" t="str">
        <f>'Detailed Car List + Stats'!D224</f>
        <v>Mustang GT 2+2 Fastback</v>
      </c>
      <c r="D224" s="6" t="str">
        <f>'Detailed Car List + Stats'!E224</f>
        <v>Classic Muscle</v>
      </c>
      <c r="E224" s="6" t="s">
        <v>31</v>
      </c>
      <c r="F224" s="6" t="str">
        <f>'Detailed Car List + Stats'!G224</f>
        <v>USA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6.5" customHeight="1">
      <c r="A225" s="6" t="str">
        <f>'Detailed Car List + Stats'!B225</f>
        <v>1968</v>
      </c>
      <c r="B225" s="6" t="str">
        <f>'Detailed Car List + Stats'!C225</f>
        <v>Ford</v>
      </c>
      <c r="C225" s="6" t="str">
        <f>'Detailed Car List + Stats'!D225</f>
        <v>Mustang GT 2+2 Fastback Forza Edition</v>
      </c>
      <c r="D225" s="6" t="str">
        <f>'Detailed Car List + Stats'!E225</f>
        <v>Drift Cars</v>
      </c>
      <c r="E225" s="6" t="s">
        <v>78</v>
      </c>
      <c r="F225" s="6" t="str">
        <f>'Detailed Car List + Stats'!G225</f>
        <v>USA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6.5" customHeight="1">
      <c r="A226" s="6" t="str">
        <f>'Detailed Car List + Stats'!B226</f>
        <v>1965</v>
      </c>
      <c r="B226" s="6" t="str">
        <f>'Detailed Car List + Stats'!C226</f>
        <v>Ford</v>
      </c>
      <c r="C226" s="6" t="str">
        <f>'Detailed Car List + Stats'!D226</f>
        <v>Mustang GT Coupe</v>
      </c>
      <c r="D226" s="6" t="str">
        <f>'Detailed Car List + Stats'!E226</f>
        <v>Classic Muscle</v>
      </c>
      <c r="E226" s="6" t="s">
        <v>31</v>
      </c>
      <c r="F226" s="6" t="str">
        <f>'Detailed Car List + Stats'!G226</f>
        <v>USA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6.5" customHeight="1">
      <c r="A227" s="6" t="str">
        <f>'Detailed Car List + Stats'!B227</f>
        <v>2018</v>
      </c>
      <c r="B227" s="6" t="str">
        <f>'Detailed Car List + Stats'!C227</f>
        <v>Ford</v>
      </c>
      <c r="C227" s="6" t="str">
        <f>'Detailed Car List + Stats'!D227</f>
        <v>Mustang RTR Spec 5</v>
      </c>
      <c r="D227" s="6" t="str">
        <f>'Detailed Car List + Stats'!E227</f>
        <v>Modern Muscle</v>
      </c>
      <c r="E227" s="6" t="s">
        <v>78</v>
      </c>
      <c r="F227" s="6" t="str">
        <f>'Detailed Car List + Stats'!G227</f>
        <v>USA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6.5" customHeight="1">
      <c r="A228" s="6" t="str">
        <f>'Detailed Car List + Stats'!B228</f>
        <v>2016</v>
      </c>
      <c r="B228" s="6" t="str">
        <f>'Detailed Car List + Stats'!C228</f>
        <v>Ford</v>
      </c>
      <c r="C228" s="6" t="str">
        <f>'Detailed Car List + Stats'!D228</f>
        <v>Mustang Shelby GT350R</v>
      </c>
      <c r="D228" s="6" t="str">
        <f>'Detailed Car List + Stats'!E228</f>
        <v>Track Toys</v>
      </c>
      <c r="E228" s="6" t="s">
        <v>53</v>
      </c>
      <c r="F228" s="6" t="str">
        <f>'Detailed Car List + Stats'!G228</f>
        <v>USA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6.5" customHeight="1">
      <c r="A229" s="6" t="str">
        <f>'Detailed Car List + Stats'!B229</f>
        <v>2013</v>
      </c>
      <c r="B229" s="6" t="str">
        <f>'Detailed Car List + Stats'!C229</f>
        <v>Ford</v>
      </c>
      <c r="C229" s="6" t="str">
        <f>'Detailed Car List + Stats'!D229</f>
        <v>Mustang Shelby GT500</v>
      </c>
      <c r="D229" s="6" t="str">
        <f>'Detailed Car List + Stats'!E229</f>
        <v>Modern Muscle</v>
      </c>
      <c r="E229" s="6" t="s">
        <v>78</v>
      </c>
      <c r="F229" s="6" t="str">
        <f>'Detailed Car List + Stats'!G229</f>
        <v>USA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6.5" customHeight="1">
      <c r="A230" s="6" t="str">
        <f>'Detailed Car List + Stats'!B230</f>
        <v>2020</v>
      </c>
      <c r="B230" s="6" t="str">
        <f>'Detailed Car List + Stats'!C230</f>
        <v>Ford</v>
      </c>
      <c r="C230" s="6" t="str">
        <f>'Detailed Car List + Stats'!D230</f>
        <v>Mustang Shelby GT500</v>
      </c>
      <c r="D230" s="6" t="str">
        <f>'Detailed Car List + Stats'!E230</f>
        <v>Modern Muscle</v>
      </c>
      <c r="E230" s="6" t="s">
        <v>53</v>
      </c>
      <c r="F230" s="6" t="str">
        <f>'Detailed Car List + Stats'!G230</f>
        <v>USA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6.5" customHeight="1">
      <c r="A231" s="6" t="str">
        <f>'Detailed Car List + Stats'!B231</f>
        <v>1993</v>
      </c>
      <c r="B231" s="6" t="str">
        <f>'Detailed Car List + Stats'!C231</f>
        <v>Ford</v>
      </c>
      <c r="C231" s="6" t="str">
        <f>'Detailed Car List + Stats'!D231</f>
        <v>Mustang SVT Cobra R</v>
      </c>
      <c r="D231" s="6" t="str">
        <f>'Detailed Car List + Stats'!E231</f>
        <v>Retro Muscle</v>
      </c>
      <c r="E231" s="6" t="s">
        <v>28</v>
      </c>
      <c r="F231" s="6" t="str">
        <f>'Detailed Car List + Stats'!G231</f>
        <v>USA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6.5" customHeight="1">
      <c r="A232" s="6" t="str">
        <f>'Detailed Car List + Stats'!B232</f>
        <v>2000</v>
      </c>
      <c r="B232" s="6" t="str">
        <f>'Detailed Car List + Stats'!C232</f>
        <v>Ford</v>
      </c>
      <c r="C232" s="6" t="str">
        <f>'Detailed Car List + Stats'!D232</f>
        <v>Mustang SVT Cobra R</v>
      </c>
      <c r="D232" s="6" t="str">
        <f>'Detailed Car List + Stats'!E232</f>
        <v>Retro Muscle</v>
      </c>
      <c r="E232" s="6" t="s">
        <v>35</v>
      </c>
      <c r="F232" s="6" t="str">
        <f>'Detailed Car List + Stats'!G232</f>
        <v>USA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6.5" customHeight="1">
      <c r="A233" s="6" t="str">
        <f>'Detailed Car List + Stats'!B233</f>
        <v>1999</v>
      </c>
      <c r="B233" s="6" t="str">
        <f>'Detailed Car List + Stats'!C233</f>
        <v>Ford</v>
      </c>
      <c r="C233" s="6" t="str">
        <f>'Detailed Car List + Stats'!D233</f>
        <v>Racing Puma</v>
      </c>
      <c r="D233" s="6" t="str">
        <f>'Detailed Car List + Stats'!E233</f>
        <v>Retro Rally</v>
      </c>
      <c r="E233" s="6" t="s">
        <v>28</v>
      </c>
      <c r="F233" s="6" t="str">
        <f>'Detailed Car List + Stats'!G233</f>
        <v>USA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6.5" customHeight="1">
      <c r="A234" s="6" t="str">
        <f>'Detailed Car List + Stats'!B234</f>
        <v>2014</v>
      </c>
      <c r="B234" s="6" t="str">
        <f>'Detailed Car List + Stats'!C234</f>
        <v>Ford</v>
      </c>
      <c r="C234" s="6" t="str">
        <f>'Detailed Car List + Stats'!D234</f>
        <v>Ranger T6 Rally Raid</v>
      </c>
      <c r="D234" s="6" t="str">
        <f>'Detailed Car List + Stats'!E234</f>
        <v>Offroad</v>
      </c>
      <c r="E234" s="6" t="s">
        <v>35</v>
      </c>
      <c r="F234" s="6" t="str">
        <f>'Detailed Car List + Stats'!G234</f>
        <v>USA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6.5" customHeight="1">
      <c r="A235" s="6" t="str">
        <f>'Detailed Car List + Stats'!B235</f>
        <v>1985</v>
      </c>
      <c r="B235" s="6" t="str">
        <f>'Detailed Car List + Stats'!C235</f>
        <v>Ford</v>
      </c>
      <c r="C235" s="6" t="str">
        <f>'Detailed Car List + Stats'!D235</f>
        <v>RS200 Evolution</v>
      </c>
      <c r="D235" s="6" t="str">
        <f>'Detailed Car List + Stats'!E235</f>
        <v>Rally Monsters</v>
      </c>
      <c r="E235" s="6" t="s">
        <v>53</v>
      </c>
      <c r="F235" s="6" t="str">
        <f>'Detailed Car List + Stats'!G235</f>
        <v>USA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6.5" customHeight="1">
      <c r="A236" s="6" t="str">
        <f>'Detailed Car List + Stats'!B236</f>
        <v>1987</v>
      </c>
      <c r="B236" s="6" t="str">
        <f>'Detailed Car List + Stats'!C236</f>
        <v>Ford</v>
      </c>
      <c r="C236" s="6" t="str">
        <f>'Detailed Car List + Stats'!D236</f>
        <v>Sierra Cosworth RS500</v>
      </c>
      <c r="D236" s="6" t="str">
        <f>'Detailed Car List + Stats'!E236</f>
        <v>Retro Super Saloons</v>
      </c>
      <c r="E236" s="6" t="s">
        <v>28</v>
      </c>
      <c r="F236" s="6" t="str">
        <f>'Detailed Car List + Stats'!G236</f>
        <v>USA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6.5" customHeight="1">
      <c r="A237" s="6" t="str">
        <f>'Detailed Car List + Stats'!B237</f>
        <v>2020</v>
      </c>
      <c r="B237" s="6" t="str">
        <f>'Detailed Car List + Stats'!C237</f>
        <v>Ford</v>
      </c>
      <c r="C237" s="6" t="str">
        <f>'Detailed Car List + Stats'!D237</f>
        <v>Super Duty F-450 DRW Platinum</v>
      </c>
      <c r="D237" s="6" t="str">
        <f>'Detailed Car List + Stats'!E237</f>
        <v>Pickups &amp; 4x4s</v>
      </c>
      <c r="E237" s="6" t="s">
        <v>31</v>
      </c>
      <c r="F237" s="6" t="str">
        <f>'Detailed Car List + Stats'!G237</f>
        <v>USA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6.5" customHeight="1">
      <c r="A238" s="6" t="str">
        <f>'Detailed Car List + Stats'!B238</f>
        <v>2020</v>
      </c>
      <c r="B238" s="6" t="str">
        <f>'Detailed Car List + Stats'!C238</f>
        <v>Ford</v>
      </c>
      <c r="C238" s="6" t="str">
        <f>'Detailed Car List + Stats'!D238</f>
        <v>Super Duty F-450 DRW Platinum Forza Edition</v>
      </c>
      <c r="D238" s="6" t="str">
        <f>'Detailed Car List + Stats'!E238</f>
        <v>Pickups &amp; 4x4s</v>
      </c>
      <c r="E238" s="6" t="s">
        <v>78</v>
      </c>
      <c r="F238" s="6" t="str">
        <f>'Detailed Car List + Stats'!G238</f>
        <v>USA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6.5" customHeight="1">
      <c r="A239" s="6" t="str">
        <f>'Detailed Car List + Stats'!B239</f>
        <v>1994</v>
      </c>
      <c r="B239" s="6" t="str">
        <f>'Detailed Car List + Stats'!C239</f>
        <v>Ford</v>
      </c>
      <c r="C239" s="6" t="str">
        <f>'Detailed Car List + Stats'!D239</f>
        <v>Supervan 3</v>
      </c>
      <c r="D239" s="6" t="str">
        <f>'Detailed Car List + Stats'!E239</f>
        <v>Track Toys</v>
      </c>
      <c r="E239" s="6" t="s">
        <v>53</v>
      </c>
      <c r="F239" s="6" t="str">
        <f>'Detailed Car List + Stats'!G239</f>
        <v>USA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6.5" customHeight="1">
      <c r="A240" s="6" t="str">
        <f>'Detailed Car List + Stats'!B240</f>
        <v>2022</v>
      </c>
      <c r="B240" s="6" t="str">
        <f>'Detailed Car List + Stats'!C240</f>
        <v>Ford</v>
      </c>
      <c r="C240" s="6" t="str">
        <f>'Detailed Car List + Stats'!D240</f>
        <v>Supervan 4</v>
      </c>
      <c r="D240" s="6" t="str">
        <f>'Detailed Car List + Stats'!E240</f>
        <v>Extreme Track Toys</v>
      </c>
      <c r="E240" s="6" t="s">
        <v>108</v>
      </c>
      <c r="F240" s="6" t="str">
        <f>'Detailed Car List + Stats'!G240</f>
        <v>USA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6.5" customHeight="1">
      <c r="A241" s="6" t="str">
        <f>'Detailed Car List + Stats'!B241</f>
        <v>1957</v>
      </c>
      <c r="B241" s="6" t="str">
        <f>'Detailed Car List + Stats'!C241</f>
        <v>Ford</v>
      </c>
      <c r="C241" s="6" t="str">
        <f>'Detailed Car List + Stats'!D241</f>
        <v>Thunderbird</v>
      </c>
      <c r="D241" s="6" t="str">
        <f>'Detailed Car List + Stats'!E241</f>
        <v>Rods &amp; Customs</v>
      </c>
      <c r="E241" s="6" t="s">
        <v>31</v>
      </c>
      <c r="F241" s="6" t="str">
        <f>'Detailed Car List + Stats'!G241</f>
        <v>USA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6.5" customHeight="1">
      <c r="A242" s="6" t="str">
        <f>'Detailed Car List + Stats'!B242</f>
        <v>2011</v>
      </c>
      <c r="B242" s="6" t="str">
        <f>'Detailed Car List + Stats'!C242</f>
        <v>Ford</v>
      </c>
      <c r="C242" s="6" t="str">
        <f>'Detailed Car List + Stats'!D242</f>
        <v>Transit SuperSportVan</v>
      </c>
      <c r="D242" s="6" t="str">
        <f>'Detailed Car List + Stats'!E242</f>
        <v>Utility Heroes</v>
      </c>
      <c r="E242" s="6" t="s">
        <v>31</v>
      </c>
      <c r="F242" s="6" t="str">
        <f>'Detailed Car List + Stats'!G242</f>
        <v>USA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6.5" customHeight="1">
      <c r="A243" s="6" t="str">
        <f>'Detailed Car List + Stats'!B243</f>
        <v>1973</v>
      </c>
      <c r="B243" s="6" t="str">
        <f>'Detailed Car List + Stats'!C243</f>
        <v>Ford</v>
      </c>
      <c r="C243" s="6" t="str">
        <f>'Detailed Car List + Stats'!D243</f>
        <v>XB Falcon GT</v>
      </c>
      <c r="D243" s="6" t="str">
        <f>'Detailed Car List + Stats'!E243</f>
        <v>Classic Muscle</v>
      </c>
      <c r="E243" s="6" t="s">
        <v>28</v>
      </c>
      <c r="F243" s="6" t="str">
        <f>'Detailed Car List + Stats'!G243</f>
        <v>USA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6.5" customHeight="1">
      <c r="A244" s="6" t="str">
        <f>'Detailed Car List + Stats'!B244</f>
        <v>2007</v>
      </c>
      <c r="B244" s="6" t="str">
        <f>'Detailed Car List + Stats'!C244</f>
        <v>Formula Drift</v>
      </c>
      <c r="C244" s="6" t="str">
        <f>'Detailed Car List + Stats'!D244</f>
        <v>#117 599 GTB Fiorano</v>
      </c>
      <c r="D244" s="6" t="str">
        <f>'Detailed Car List + Stats'!E244</f>
        <v>Drift Cars</v>
      </c>
      <c r="E244" s="6" t="s">
        <v>53</v>
      </c>
      <c r="F244" s="6" t="str">
        <f>'Detailed Car List + Stats'!G244</f>
        <v>USA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6.5" customHeight="1">
      <c r="A245" s="6" t="str">
        <f>'Detailed Car List + Stats'!B245</f>
        <v>2015</v>
      </c>
      <c r="B245" s="6" t="str">
        <f>'Detailed Car List + Stats'!C245</f>
        <v>Formula Drift</v>
      </c>
      <c r="C245" s="6" t="str">
        <f>'Detailed Car List + Stats'!D245</f>
        <v>#13 Ford Mustang</v>
      </c>
      <c r="D245" s="6" t="str">
        <f>'Detailed Car List + Stats'!E245</f>
        <v>Drift Cars</v>
      </c>
      <c r="E245" s="6" t="s">
        <v>53</v>
      </c>
      <c r="F245" s="6" t="str">
        <f>'Detailed Car List + Stats'!G245</f>
        <v>USA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6.5" customHeight="1">
      <c r="A246" s="6" t="str">
        <f>'Detailed Car List + Stats'!B246</f>
        <v>2020</v>
      </c>
      <c r="B246" s="6" t="str">
        <f>'Detailed Car List + Stats'!C246</f>
        <v>Formula Drift</v>
      </c>
      <c r="C246" s="6" t="str">
        <f>'Detailed Car List + Stats'!D246</f>
        <v>#151 Toyota GR Supra</v>
      </c>
      <c r="D246" s="6" t="str">
        <f>'Detailed Car List + Stats'!E246</f>
        <v>Drift Cars</v>
      </c>
      <c r="E246" s="6" t="s">
        <v>53</v>
      </c>
      <c r="F246" s="6" t="str">
        <f>'Detailed Car List + Stats'!G246</f>
        <v>USA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6.5" customHeight="1">
      <c r="A247" s="6" t="str">
        <f>'Detailed Car List + Stats'!B247</f>
        <v>1995</v>
      </c>
      <c r="B247" s="6" t="str">
        <f>'Detailed Car List + Stats'!C247</f>
        <v>Formula Drift</v>
      </c>
      <c r="C247" s="6" t="str">
        <f>'Detailed Car List + Stats'!D247</f>
        <v>#34 Toyota Supra Mk IV</v>
      </c>
      <c r="D247" s="6" t="str">
        <f>'Detailed Car List + Stats'!E247</f>
        <v>Drift Cars</v>
      </c>
      <c r="E247" s="6" t="s">
        <v>53</v>
      </c>
      <c r="F247" s="6" t="str">
        <f>'Detailed Car List + Stats'!G247</f>
        <v>USA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6.5" customHeight="1">
      <c r="A248" s="6" t="str">
        <f>'Detailed Car List + Stats'!B248</f>
        <v>2019</v>
      </c>
      <c r="B248" s="6" t="str">
        <f>'Detailed Car List + Stats'!C248</f>
        <v>Formula Drift</v>
      </c>
      <c r="C248" s="6" t="str">
        <f>'Detailed Car List + Stats'!D248</f>
        <v>#411 Toyota Corolla Hatchback</v>
      </c>
      <c r="D248" s="6" t="str">
        <f>'Detailed Car List + Stats'!E248</f>
        <v>Drift Cars</v>
      </c>
      <c r="E248" s="6" t="s">
        <v>53</v>
      </c>
      <c r="F248" s="6" t="str">
        <f>'Detailed Car List + Stats'!G248</f>
        <v>USA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6.5" customHeight="1">
      <c r="A249" s="6" t="str">
        <f>'Detailed Car List + Stats'!B249</f>
        <v>2006</v>
      </c>
      <c r="B249" s="6" t="str">
        <f>'Detailed Car List + Stats'!C249</f>
        <v>Formula Drift</v>
      </c>
      <c r="C249" s="6" t="str">
        <f>'Detailed Car List + Stats'!D249</f>
        <v>#43 Dodge Viper SRT-10 ACR</v>
      </c>
      <c r="D249" s="6" t="str">
        <f>'Detailed Car List + Stats'!E249</f>
        <v>Drift Cars</v>
      </c>
      <c r="E249" s="6" t="s">
        <v>53</v>
      </c>
      <c r="F249" s="6" t="str">
        <f>'Detailed Car List + Stats'!G249</f>
        <v>USA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6.5" customHeight="1">
      <c r="A250" s="6" t="str">
        <f>'Detailed Car List + Stats'!B250</f>
        <v>2016</v>
      </c>
      <c r="B250" s="6" t="str">
        <f>'Detailed Car List + Stats'!C250</f>
        <v>Formula Drift</v>
      </c>
      <c r="C250" s="6" t="str">
        <f>'Detailed Car List + Stats'!D250</f>
        <v>#530 HSV Maloo GEN-F</v>
      </c>
      <c r="D250" s="6" t="str">
        <f>'Detailed Car List + Stats'!E250</f>
        <v>Drift Cars</v>
      </c>
      <c r="E250" s="6" t="s">
        <v>53</v>
      </c>
      <c r="F250" s="6" t="str">
        <f>'Detailed Car List + Stats'!G250</f>
        <v>USA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6.5" customHeight="1">
      <c r="A251" s="6" t="str">
        <f>'Detailed Car List + Stats'!B251</f>
        <v>2023</v>
      </c>
      <c r="B251" s="6" t="str">
        <f>'Detailed Car List + Stats'!C251</f>
        <v>Formula Drift</v>
      </c>
      <c r="C251" s="6" t="str">
        <f>'Detailed Car List + Stats'!D251</f>
        <v>#64 Forsberg Racing Nissan Z</v>
      </c>
      <c r="D251" s="6" t="str">
        <f>'Detailed Car List + Stats'!E251</f>
        <v>Drift Cars</v>
      </c>
      <c r="E251" s="6" t="s">
        <v>53</v>
      </c>
      <c r="F251" s="6" t="str">
        <f>'Detailed Car List + Stats'!G251</f>
        <v>USA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6.5" customHeight="1">
      <c r="A252" s="6" t="str">
        <f>'Detailed Car List + Stats'!B252</f>
        <v>2013</v>
      </c>
      <c r="B252" s="6" t="str">
        <f>'Detailed Car List + Stats'!C252</f>
        <v>Formula Drift</v>
      </c>
      <c r="C252" s="6" t="str">
        <f>'Detailed Car List + Stats'!D252</f>
        <v>#777 Chevrolet Corvette</v>
      </c>
      <c r="D252" s="6" t="str">
        <f>'Detailed Car List + Stats'!E252</f>
        <v>Drift Cars</v>
      </c>
      <c r="E252" s="6" t="s">
        <v>53</v>
      </c>
      <c r="F252" s="6" t="str">
        <f>'Detailed Car List + Stats'!G252</f>
        <v>USA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6.5" customHeight="1">
      <c r="A253" s="6" t="str">
        <f>'Detailed Car List + Stats'!B253</f>
        <v>1997</v>
      </c>
      <c r="B253" s="6" t="str">
        <f>'Detailed Car List + Stats'!C253</f>
        <v>Formula Drift</v>
      </c>
      <c r="C253" s="6" t="str">
        <f>'Detailed Car List + Stats'!D253</f>
        <v>#777 Nissan 240SX</v>
      </c>
      <c r="D253" s="6" t="str">
        <f>'Detailed Car List + Stats'!E253</f>
        <v>Drift Cars</v>
      </c>
      <c r="E253" s="6" t="s">
        <v>53</v>
      </c>
      <c r="F253" s="6" t="str">
        <f>'Detailed Car List + Stats'!G253</f>
        <v>USA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6.5" customHeight="1">
      <c r="A254" s="6" t="str">
        <f>'Detailed Car List + Stats'!B254</f>
        <v>2020</v>
      </c>
      <c r="B254" s="6" t="str">
        <f>'Detailed Car List + Stats'!C254</f>
        <v>Formula Drift</v>
      </c>
      <c r="C254" s="6" t="str">
        <f>'Detailed Car List + Stats'!D254</f>
        <v>#91 BMW M2</v>
      </c>
      <c r="D254" s="6" t="str">
        <f>'Detailed Car List + Stats'!E254</f>
        <v>Drift Cars</v>
      </c>
      <c r="E254" s="6" t="s">
        <v>53</v>
      </c>
      <c r="F254" s="6" t="str">
        <f>'Detailed Car List + Stats'!G254</f>
        <v>USA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6.5" customHeight="1">
      <c r="A255" s="6" t="str">
        <f>'Detailed Car List + Stats'!B255</f>
        <v>1989</v>
      </c>
      <c r="B255" s="6" t="str">
        <f>'Detailed Car List + Stats'!C255</f>
        <v>Formula Drift</v>
      </c>
      <c r="C255" s="6" t="str">
        <f>'Detailed Car List + Stats'!D255</f>
        <v>#98 BMW 325i</v>
      </c>
      <c r="D255" s="6" t="str">
        <f>'Detailed Car List + Stats'!E255</f>
        <v>Drift Cars</v>
      </c>
      <c r="E255" s="6" t="s">
        <v>53</v>
      </c>
      <c r="F255" s="6" t="str">
        <f>'Detailed Car List + Stats'!G255</f>
        <v>USA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6.5" customHeight="1">
      <c r="A256" s="6" t="str">
        <f>'Detailed Car List + Stats'!B256</f>
        <v>2009</v>
      </c>
      <c r="B256" s="6" t="str">
        <f>'Detailed Car List + Stats'!C256</f>
        <v>Formula Drift</v>
      </c>
      <c r="C256" s="6" t="str">
        <f>'Detailed Car List + Stats'!D256</f>
        <v>#99 Mazda RX-8</v>
      </c>
      <c r="D256" s="6" t="str">
        <f>'Detailed Car List + Stats'!E256</f>
        <v>Drift Cars</v>
      </c>
      <c r="E256" s="6" t="s">
        <v>53</v>
      </c>
      <c r="F256" s="6" t="str">
        <f>'Detailed Car List + Stats'!G256</f>
        <v>USA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6.5" customHeight="1">
      <c r="A257" s="6" t="str">
        <f>'Detailed Car List + Stats'!B257</f>
        <v>2018</v>
      </c>
      <c r="B257" s="6" t="str">
        <f>'Detailed Car List + Stats'!C257</f>
        <v>Funco Motorsports</v>
      </c>
      <c r="C257" s="6" t="str">
        <f>'Detailed Car List + Stats'!D257</f>
        <v>F9</v>
      </c>
      <c r="D257" s="6" t="str">
        <f>'Detailed Car List + Stats'!E257</f>
        <v>Unlimited Buggies</v>
      </c>
      <c r="E257" s="6" t="s">
        <v>53</v>
      </c>
      <c r="F257" s="6" t="str">
        <f>'Detailed Car List + Stats'!G257</f>
        <v>USA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6.5" customHeight="1">
      <c r="A258" s="6" t="str">
        <f>'Detailed Car List + Stats'!B258</f>
        <v>2022</v>
      </c>
      <c r="B258" s="6" t="str">
        <f>'Detailed Car List + Stats'!C258</f>
        <v>GMC</v>
      </c>
      <c r="C258" s="6" t="str">
        <f>'Detailed Car List + Stats'!D258</f>
        <v>HUMMER EV Pickup</v>
      </c>
      <c r="D258" s="6" t="str">
        <f>'Detailed Car List + Stats'!E258</f>
        <v>Pickups &amp; 4x4s</v>
      </c>
      <c r="E258" s="6" t="s">
        <v>78</v>
      </c>
      <c r="F258" s="6" t="str">
        <f>'Detailed Car List + Stats'!G258</f>
        <v>USA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6.5" customHeight="1">
      <c r="A259" s="6" t="str">
        <f>'Detailed Car List + Stats'!B259</f>
        <v>1970</v>
      </c>
      <c r="B259" s="6" t="str">
        <f>'Detailed Car List + Stats'!C259</f>
        <v>GMC</v>
      </c>
      <c r="C259" s="6" t="str">
        <f>'Detailed Car List + Stats'!D259</f>
        <v>Jimmy</v>
      </c>
      <c r="D259" s="6" t="str">
        <f>'Detailed Car List + Stats'!E259</f>
        <v>Pickups &amp; 4x4s</v>
      </c>
      <c r="E259" s="6" t="s">
        <v>28</v>
      </c>
      <c r="F259" s="6" t="str">
        <f>'Detailed Car List + Stats'!G259</f>
        <v>USA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6.5" customHeight="1">
      <c r="A260" s="6" t="str">
        <f>'Detailed Car List + Stats'!B260</f>
        <v>1991</v>
      </c>
      <c r="B260" s="6" t="str">
        <f>'Detailed Car List + Stats'!C260</f>
        <v>GMC</v>
      </c>
      <c r="C260" s="6" t="str">
        <f>'Detailed Car List + Stats'!D260</f>
        <v>Syclone</v>
      </c>
      <c r="D260" s="6" t="str">
        <f>'Detailed Car List + Stats'!E260</f>
        <v>Pickups &amp; 4x4s</v>
      </c>
      <c r="E260" s="6" t="s">
        <v>28</v>
      </c>
      <c r="F260" s="6" t="str">
        <f>'Detailed Car List + Stats'!G260</f>
        <v>USA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6.5" customHeight="1">
      <c r="A261" s="6" t="str">
        <f>'Detailed Car List + Stats'!B261</f>
        <v>1992</v>
      </c>
      <c r="B261" s="6" t="str">
        <f>'Detailed Car List + Stats'!C261</f>
        <v>GMC</v>
      </c>
      <c r="C261" s="6" t="str">
        <f>'Detailed Car List + Stats'!D261</f>
        <v>Typhoon</v>
      </c>
      <c r="D261" s="6" t="str">
        <f>'Detailed Car List + Stats'!E261</f>
        <v>Sports Utility Heroes</v>
      </c>
      <c r="E261" s="6" t="s">
        <v>28</v>
      </c>
      <c r="F261" s="6" t="str">
        <f>'Detailed Car List + Stats'!G261</f>
        <v>USA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6.5" customHeight="1">
      <c r="A262" s="6" t="str">
        <f>'Detailed Car List + Stats'!B262</f>
        <v>2020</v>
      </c>
      <c r="B262" s="6" t="str">
        <f>'Detailed Car List + Stats'!C262</f>
        <v>Gordon Murray Automotive</v>
      </c>
      <c r="C262" s="6" t="str">
        <f>'Detailed Car List + Stats'!D262</f>
        <v>T.50</v>
      </c>
      <c r="D262" s="6" t="str">
        <f>'Detailed Car List + Stats'!E262</f>
        <v>Hypercars</v>
      </c>
      <c r="E262" s="6" t="s">
        <v>138</v>
      </c>
      <c r="F262" s="6" t="str">
        <f>'Detailed Car List + Stats'!G262</f>
        <v>UK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6.5" customHeight="1">
      <c r="A263" s="6" t="str">
        <f>'Detailed Car List + Stats'!B263</f>
        <v>2025</v>
      </c>
      <c r="B263" s="6" t="str">
        <f>'Detailed Car List + Stats'!C263</f>
        <v>GR</v>
      </c>
      <c r="C263" s="6" t="str">
        <f>'Detailed Car List + Stats'!D263</f>
        <v>GT Prototype</v>
      </c>
      <c r="D263" s="6" t="str">
        <f>'Detailed Car List + Stats'!E263</f>
        <v>Super GT</v>
      </c>
      <c r="E263" s="6" t="s">
        <v>53</v>
      </c>
      <c r="F263" s="6" t="str">
        <f>'Detailed Car List + Stats'!G263</f>
        <v>Japan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6.5" customHeight="1">
      <c r="A264" s="6" t="str">
        <f>'Detailed Car List + Stats'!B264</f>
        <v>2019</v>
      </c>
      <c r="B264" s="6" t="str">
        <f>'Detailed Car List + Stats'!C264</f>
        <v>Hennessey</v>
      </c>
      <c r="C264" s="6" t="str">
        <f>'Detailed Car List + Stats'!D264</f>
        <v>Ford F-150 VelociRaptor 6x6</v>
      </c>
      <c r="D264" s="6" t="str">
        <f>'Detailed Car List + Stats'!E264</f>
        <v>Pickups &amp; 4x4s</v>
      </c>
      <c r="E264" s="6" t="s">
        <v>35</v>
      </c>
      <c r="F264" s="6" t="str">
        <f>'Detailed Car List + Stats'!G264</f>
        <v>USA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6.5" customHeight="1">
      <c r="A265" s="6" t="str">
        <f>'Detailed Car List + Stats'!B265</f>
        <v>2021</v>
      </c>
      <c r="B265" s="6" t="str">
        <f>'Detailed Car List + Stats'!C265</f>
        <v>Hennessey</v>
      </c>
      <c r="C265" s="6" t="str">
        <f>'Detailed Car List + Stats'!D265</f>
        <v>Venom F5</v>
      </c>
      <c r="D265" s="6" t="str">
        <f>'Detailed Car List + Stats'!E265</f>
        <v>Hypercars</v>
      </c>
      <c r="E265" s="6" t="s">
        <v>138</v>
      </c>
      <c r="F265" s="6" t="str">
        <f>'Detailed Car List + Stats'!G265</f>
        <v>USA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6.5" customHeight="1">
      <c r="A266" s="6" t="str">
        <f>'Detailed Car List + Stats'!B266</f>
        <v>2012</v>
      </c>
      <c r="B266" s="6" t="str">
        <f>'Detailed Car List + Stats'!C266</f>
        <v>Hennessey</v>
      </c>
      <c r="C266" s="6" t="str">
        <f>'Detailed Car List + Stats'!D266</f>
        <v>Venom GT</v>
      </c>
      <c r="D266" s="6" t="str">
        <f>'Detailed Car List + Stats'!E266</f>
        <v>Hypercars</v>
      </c>
      <c r="E266" s="6" t="s">
        <v>138</v>
      </c>
      <c r="F266" s="6" t="str">
        <f>'Detailed Car List + Stats'!G266</f>
        <v>USA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6.5" customHeight="1">
      <c r="A267" s="6" t="str">
        <f>'Detailed Car List + Stats'!B267</f>
        <v>1977</v>
      </c>
      <c r="B267" s="6" t="str">
        <f>'Detailed Car List + Stats'!C267</f>
        <v>Holden</v>
      </c>
      <c r="C267" s="6" t="str">
        <f>'Detailed Car List + Stats'!D267</f>
        <v>Torana A9X</v>
      </c>
      <c r="D267" s="6" t="str">
        <f>'Detailed Car List + Stats'!E267</f>
        <v>Classic Muscle</v>
      </c>
      <c r="E267" s="6" t="s">
        <v>28</v>
      </c>
      <c r="F267" s="6" t="str">
        <f>'Detailed Car List + Stats'!G267</f>
        <v>Australia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6.5" customHeight="1">
      <c r="A268" s="6" t="str">
        <f>'Detailed Car List + Stats'!B268</f>
        <v>1990</v>
      </c>
      <c r="B268" s="6" t="str">
        <f>'Detailed Car List + Stats'!C268</f>
        <v>Honda</v>
      </c>
      <c r="C268" s="6" t="str">
        <f>'Detailed Car List + Stats'!D268</f>
        <v>#19 101 Motorsport CRX WTAC</v>
      </c>
      <c r="D268" s="6" t="str">
        <f>'Detailed Car List + Stats'!E268</f>
        <v>Extreme Track Toys</v>
      </c>
      <c r="E268" s="6" t="s">
        <v>138</v>
      </c>
      <c r="F268" s="6" t="str">
        <f>'Detailed Car List + Stats'!G268</f>
        <v>Japan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6.5" customHeight="1">
      <c r="A269" s="6" t="str">
        <f>'Detailed Car List + Stats'!B269</f>
        <v>1992</v>
      </c>
      <c r="B269" s="6" t="str">
        <f>'Detailed Car List + Stats'!C269</f>
        <v>Honda</v>
      </c>
      <c r="C269" s="6" t="str">
        <f>'Detailed Car List + Stats'!D269</f>
        <v>#21 Hardrace/JDMYard Civic WTAC</v>
      </c>
      <c r="D269" s="6" t="str">
        <f>'Detailed Car List + Stats'!E269</f>
        <v>Extreme Track Toys</v>
      </c>
      <c r="E269" s="6" t="s">
        <v>108</v>
      </c>
      <c r="F269" s="6" t="str">
        <f>'Detailed Car List + Stats'!G269</f>
        <v>Japan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6.5" customHeight="1">
      <c r="A270" s="6" t="str">
        <f>'Detailed Car List + Stats'!B270</f>
        <v>2001</v>
      </c>
      <c r="B270" s="6" t="str">
        <f>'Detailed Car List + Stats'!C270</f>
        <v>Honda</v>
      </c>
      <c r="C270" s="6" t="str">
        <f>'Detailed Car List + Stats'!D270</f>
        <v>#33 Integra WTAC</v>
      </c>
      <c r="D270" s="6" t="str">
        <f>'Detailed Car List + Stats'!E270</f>
        <v>Extreme Track Toys</v>
      </c>
      <c r="E270" s="6" t="s">
        <v>138</v>
      </c>
      <c r="F270" s="6" t="str">
        <f>'Detailed Car List + Stats'!G270</f>
        <v>Japan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6.5" customHeight="1">
      <c r="A271" s="6" t="str">
        <f>'Detailed Car List + Stats'!B271</f>
        <v>2004</v>
      </c>
      <c r="B271" s="6" t="str">
        <f>'Detailed Car List + Stats'!C271</f>
        <v>Honda</v>
      </c>
      <c r="C271" s="6" t="str">
        <f>'Detailed Car List + Stats'!D271</f>
        <v>#52 Evasive Motorsports S2000 WTAC</v>
      </c>
      <c r="D271" s="6" t="str">
        <f>'Detailed Car List + Stats'!E271</f>
        <v>Extreme Track Toys</v>
      </c>
      <c r="E271" s="6" t="s">
        <v>138</v>
      </c>
      <c r="F271" s="6" t="str">
        <f>'Detailed Car List + Stats'!G271</f>
        <v>Japan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6.5" customHeight="1">
      <c r="A272" s="6" t="str">
        <f>'Detailed Car List + Stats'!B272</f>
        <v>1994</v>
      </c>
      <c r="B272" s="6" t="str">
        <f>'Detailed Car List + Stats'!C272</f>
        <v>Honda</v>
      </c>
      <c r="C272" s="6" t="str">
        <f>'Detailed Car List + Stats'!D272</f>
        <v>Acty</v>
      </c>
      <c r="D272" s="6" t="str">
        <f>'Detailed Car List + Stats'!E272</f>
        <v>Eclectic Domestics</v>
      </c>
      <c r="E272" s="6" t="s">
        <v>31</v>
      </c>
      <c r="F272" s="6" t="str">
        <f>'Detailed Car List + Stats'!G272</f>
        <v>Japan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6.5" customHeight="1">
      <c r="A273" s="6" t="str">
        <f>'Detailed Car List + Stats'!B273</f>
        <v>1991</v>
      </c>
      <c r="B273" s="6" t="str">
        <f>'Detailed Car List + Stats'!C273</f>
        <v>Honda</v>
      </c>
      <c r="C273" s="6" t="str">
        <f>'Detailed Car List + Stats'!D273</f>
        <v>Beat</v>
      </c>
      <c r="D273" s="6" t="str">
        <f>'Detailed Car List + Stats'!E273</f>
        <v>Eclectic Domestics</v>
      </c>
      <c r="E273" s="6" t="s">
        <v>31</v>
      </c>
      <c r="F273" s="6" t="str">
        <f>'Detailed Car List + Stats'!G273</f>
        <v>Japan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6.5" customHeight="1">
      <c r="A274" s="6" t="str">
        <f>'Detailed Car List + Stats'!B274</f>
        <v>1984</v>
      </c>
      <c r="B274" s="6" t="str">
        <f>'Detailed Car List + Stats'!C274</f>
        <v>Honda</v>
      </c>
      <c r="C274" s="6" t="str">
        <f>'Detailed Car List + Stats'!D274</f>
        <v>City E II</v>
      </c>
      <c r="D274" s="6" t="str">
        <f>'Detailed Car List + Stats'!E274</f>
        <v>Eclectic Domestics</v>
      </c>
      <c r="E274" s="6" t="s">
        <v>31</v>
      </c>
      <c r="F274" s="6" t="str">
        <f>'Detailed Car List + Stats'!G274</f>
        <v>Japan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6.5" customHeight="1">
      <c r="A275" s="6" t="str">
        <f>'Detailed Car List + Stats'!B275</f>
        <v>1984</v>
      </c>
      <c r="B275" s="6" t="str">
        <f>'Detailed Car List + Stats'!C275</f>
        <v>Honda</v>
      </c>
      <c r="C275" s="6" t="str">
        <f>'Detailed Car List + Stats'!D275</f>
        <v>Civic CRX Mugen</v>
      </c>
      <c r="D275" s="6" t="str">
        <f>'Detailed Car List + Stats'!E275</f>
        <v>Retro Sports Cars</v>
      </c>
      <c r="E275" s="6" t="s">
        <v>31</v>
      </c>
      <c r="F275" s="6" t="str">
        <f>'Detailed Car List + Stats'!G275</f>
        <v>Japan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6.5" customHeight="1">
      <c r="A276" s="6" t="str">
        <f>'Detailed Car List + Stats'!B276</f>
        <v>1974</v>
      </c>
      <c r="B276" s="6" t="str">
        <f>'Detailed Car List + Stats'!C276</f>
        <v>Honda</v>
      </c>
      <c r="C276" s="6" t="str">
        <f>'Detailed Car List + Stats'!D276</f>
        <v>Civic RS</v>
      </c>
      <c r="D276" s="6" t="str">
        <f>'Detailed Car List + Stats'!E276</f>
        <v>Retro Hot Hatch</v>
      </c>
      <c r="E276" s="6" t="s">
        <v>31</v>
      </c>
      <c r="F276" s="6" t="str">
        <f>'Detailed Car List + Stats'!G276</f>
        <v>Japan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6.5" customHeight="1">
      <c r="A277" s="6" t="str">
        <f>'Detailed Car List + Stats'!B277</f>
        <v>1986</v>
      </c>
      <c r="B277" s="6" t="str">
        <f>'Detailed Car List + Stats'!C277</f>
        <v>Honda</v>
      </c>
      <c r="C277" s="6" t="str">
        <f>'Detailed Car List + Stats'!D277</f>
        <v>Civic Si</v>
      </c>
      <c r="D277" s="6" t="str">
        <f>'Detailed Car List + Stats'!E277</f>
        <v>Retro Hot Hatch</v>
      </c>
      <c r="E277" s="6" t="s">
        <v>31</v>
      </c>
      <c r="F277" s="6" t="str">
        <f>'Detailed Car List + Stats'!G277</f>
        <v>Japan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6.5" customHeight="1">
      <c r="A278" s="6" t="str">
        <f>'Detailed Car List + Stats'!B278</f>
        <v>1997</v>
      </c>
      <c r="B278" s="6" t="str">
        <f>'Detailed Car List + Stats'!C278</f>
        <v>Honda</v>
      </c>
      <c r="C278" s="6" t="str">
        <f>'Detailed Car List + Stats'!D278</f>
        <v>Civic Type R</v>
      </c>
      <c r="D278" s="6" t="str">
        <f>'Detailed Car List + Stats'!E278</f>
        <v>Retro Hot Hatch</v>
      </c>
      <c r="E278" s="6" t="s">
        <v>28</v>
      </c>
      <c r="F278" s="6" t="str">
        <f>'Detailed Car List + Stats'!G278</f>
        <v>Japan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6.5" customHeight="1">
      <c r="A279" s="6" t="str">
        <f>'Detailed Car List + Stats'!B279</f>
        <v>2004</v>
      </c>
      <c r="B279" s="6" t="str">
        <f>'Detailed Car List + Stats'!C279</f>
        <v>Honda</v>
      </c>
      <c r="C279" s="6" t="str">
        <f>'Detailed Car List + Stats'!D279</f>
        <v>Civic Type R</v>
      </c>
      <c r="D279" s="6" t="str">
        <f>'Detailed Car List + Stats'!E279</f>
        <v>Retro Hot Hatch</v>
      </c>
      <c r="E279" s="6" t="s">
        <v>28</v>
      </c>
      <c r="F279" s="6" t="str">
        <f>'Detailed Car List + Stats'!G279</f>
        <v>Japan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6.5" customHeight="1">
      <c r="A280" s="6" t="str">
        <f>'Detailed Car List + Stats'!B280</f>
        <v>2007</v>
      </c>
      <c r="B280" s="6" t="str">
        <f>'Detailed Car List + Stats'!C280</f>
        <v>Honda</v>
      </c>
      <c r="C280" s="6" t="str">
        <f>'Detailed Car List + Stats'!D280</f>
        <v>Civic Type R</v>
      </c>
      <c r="D280" s="6" t="str">
        <f>'Detailed Car List + Stats'!E280</f>
        <v>Hot Hatch</v>
      </c>
      <c r="E280" s="6" t="s">
        <v>28</v>
      </c>
      <c r="F280" s="6" t="str">
        <f>'Detailed Car List + Stats'!G280</f>
        <v>Japan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6.5" customHeight="1">
      <c r="A281" s="6" t="str">
        <f>'Detailed Car List + Stats'!B281</f>
        <v>2008</v>
      </c>
      <c r="B281" s="6" t="str">
        <f>'Detailed Car List + Stats'!C281</f>
        <v>Honda</v>
      </c>
      <c r="C281" s="6" t="str">
        <f>'Detailed Car List + Stats'!D281</f>
        <v>Civic Type R</v>
      </c>
      <c r="D281" s="6" t="str">
        <f>'Detailed Car List + Stats'!E281</f>
        <v>Retro Super Saloons</v>
      </c>
      <c r="E281" s="6" t="s">
        <v>35</v>
      </c>
      <c r="F281" s="6" t="str">
        <f>'Detailed Car List + Stats'!G281</f>
        <v>Japan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6.5" customHeight="1">
      <c r="A282" s="6" t="str">
        <f>'Detailed Car List + Stats'!B282</f>
        <v>2015</v>
      </c>
      <c r="B282" s="6" t="str">
        <f>'Detailed Car List + Stats'!C282</f>
        <v>Honda</v>
      </c>
      <c r="C282" s="6" t="str">
        <f>'Detailed Car List + Stats'!D282</f>
        <v>Civic Type R</v>
      </c>
      <c r="D282" s="6" t="str">
        <f>'Detailed Car List + Stats'!E282</f>
        <v>Super Hot Hatch</v>
      </c>
      <c r="E282" s="6" t="s">
        <v>78</v>
      </c>
      <c r="F282" s="6" t="str">
        <f>'Detailed Car List + Stats'!G282</f>
        <v>Japan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6.5" customHeight="1">
      <c r="A283" s="6" t="str">
        <f>'Detailed Car List + Stats'!B283</f>
        <v>2018</v>
      </c>
      <c r="B283" s="6" t="str">
        <f>'Detailed Car List + Stats'!C283</f>
        <v>Honda</v>
      </c>
      <c r="C283" s="6" t="str">
        <f>'Detailed Car List + Stats'!D283</f>
        <v>Civic Type R</v>
      </c>
      <c r="D283" s="6" t="str">
        <f>'Detailed Car List + Stats'!E283</f>
        <v>Super Hot Hatch</v>
      </c>
      <c r="E283" s="6" t="s">
        <v>78</v>
      </c>
      <c r="F283" s="6" t="str">
        <f>'Detailed Car List + Stats'!G283</f>
        <v>Japan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6.5" customHeight="1">
      <c r="A284" s="6" t="str">
        <f>'Detailed Car List + Stats'!B284</f>
        <v>2023</v>
      </c>
      <c r="B284" s="6" t="str">
        <f>'Detailed Car List + Stats'!C284</f>
        <v>Honda</v>
      </c>
      <c r="C284" s="6" t="str">
        <f>'Detailed Car List + Stats'!D284</f>
        <v>Civic Type R</v>
      </c>
      <c r="D284" s="6" t="str">
        <f>'Detailed Car List + Stats'!E284</f>
        <v>Super Hot Hatch</v>
      </c>
      <c r="E284" s="6" t="s">
        <v>35</v>
      </c>
      <c r="F284" s="6" t="str">
        <f>'Detailed Car List + Stats'!G284</f>
        <v>Japan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6.5" customHeight="1">
      <c r="A285" s="6" t="str">
        <f>'Detailed Car List + Stats'!B285</f>
        <v>1991</v>
      </c>
      <c r="B285" s="6" t="str">
        <f>'Detailed Car List + Stats'!C285</f>
        <v>Honda</v>
      </c>
      <c r="C285" s="6" t="str">
        <f>'Detailed Car List + Stats'!D285</f>
        <v>CR-X SiR</v>
      </c>
      <c r="D285" s="6" t="str">
        <f>'Detailed Car List + Stats'!E285</f>
        <v>Retro Hot Hatch</v>
      </c>
      <c r="E285" s="6" t="s">
        <v>28</v>
      </c>
      <c r="F285" s="6" t="str">
        <f>'Detailed Car List + Stats'!G285</f>
        <v>Japan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6.5" customHeight="1">
      <c r="A286" s="6" t="str">
        <f>'Detailed Car List + Stats'!B286</f>
        <v>2022</v>
      </c>
      <c r="B286" s="6" t="str">
        <f>'Detailed Car List + Stats'!C286</f>
        <v>Honda</v>
      </c>
      <c r="C286" s="6" t="str">
        <f>'Detailed Car List + Stats'!D286</f>
        <v>e</v>
      </c>
      <c r="D286" s="6" t="str">
        <f>'Detailed Car List + Stats'!E286</f>
        <v>Hot Hatch</v>
      </c>
      <c r="E286" s="6" t="s">
        <v>31</v>
      </c>
      <c r="F286" s="6" t="str">
        <f>'Detailed Car List + Stats'!G286</f>
        <v>Japan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6.5" customHeight="1">
      <c r="A287" s="6" t="str">
        <f>'Detailed Car List + Stats'!B287</f>
        <v>1970</v>
      </c>
      <c r="B287" s="6" t="str">
        <f>'Detailed Car List + Stats'!C287</f>
        <v>Honda</v>
      </c>
      <c r="C287" s="6" t="str">
        <f>'Detailed Car List + Stats'!D287</f>
        <v>N600</v>
      </c>
      <c r="D287" s="6" t="str">
        <f>'Detailed Car List + Stats'!E287</f>
        <v>Electic Domestics</v>
      </c>
      <c r="E287" s="6" t="s">
        <v>31</v>
      </c>
      <c r="F287" s="6" t="str">
        <f>'Detailed Car List + Stats'!G287</f>
        <v>Japan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6.5" customHeight="1">
      <c r="A288" s="6" t="str">
        <f>'Detailed Car List + Stats'!B288</f>
        <v>1992</v>
      </c>
      <c r="B288" s="6" t="str">
        <f>'Detailed Car List + Stats'!C288</f>
        <v>Honda</v>
      </c>
      <c r="C288" s="6" t="str">
        <f>'Detailed Car List + Stats'!D288</f>
        <v>NSX-R</v>
      </c>
      <c r="D288" s="6" t="str">
        <f>'Detailed Car List + Stats'!E288</f>
        <v>Retro Sports Cars</v>
      </c>
      <c r="E288" s="6" t="s">
        <v>35</v>
      </c>
      <c r="F288" s="6" t="str">
        <f>'Detailed Car List + Stats'!G288</f>
        <v>Japan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6.5" customHeight="1">
      <c r="A289" s="6" t="str">
        <f>'Detailed Car List + Stats'!B289</f>
        <v>2005</v>
      </c>
      <c r="B289" s="6" t="str">
        <f>'Detailed Car List + Stats'!C289</f>
        <v>Honda</v>
      </c>
      <c r="C289" s="6" t="str">
        <f>'Detailed Car List + Stats'!D289</f>
        <v>NSX-R</v>
      </c>
      <c r="D289" s="6" t="str">
        <f>'Detailed Car List + Stats'!E289</f>
        <v>Retro Sports Cars</v>
      </c>
      <c r="E289" s="6" t="s">
        <v>35</v>
      </c>
      <c r="F289" s="6" t="str">
        <f>'Detailed Car List + Stats'!G289</f>
        <v>Japan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6.5" customHeight="1">
      <c r="A290" s="6" t="str">
        <f>'Detailed Car List + Stats'!B290</f>
        <v>2005</v>
      </c>
      <c r="B290" s="6" t="str">
        <f>'Detailed Car List + Stats'!C290</f>
        <v>Honda</v>
      </c>
      <c r="C290" s="6" t="str">
        <f>'Detailed Car List + Stats'!D290</f>
        <v>NSX-R GT</v>
      </c>
      <c r="D290" s="6" t="str">
        <f>'Detailed Car List + Stats'!E290</f>
        <v>Retro Sports Cars</v>
      </c>
      <c r="E290" s="6" t="s">
        <v>78</v>
      </c>
      <c r="F290" s="6" t="str">
        <f>'Detailed Car List + Stats'!G290</f>
        <v>Japan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6.5" customHeight="1">
      <c r="A291" s="6" t="str">
        <f>'Detailed Car List + Stats'!B291</f>
        <v>1994</v>
      </c>
      <c r="B291" s="6" t="str">
        <f>'Detailed Car List + Stats'!C291</f>
        <v>Honda</v>
      </c>
      <c r="C291" s="6" t="str">
        <f>'Detailed Car List + Stats'!D291</f>
        <v>Prelude Si</v>
      </c>
      <c r="D291" s="6" t="str">
        <f>'Detailed Car List + Stats'!E291</f>
        <v>Retro Hot Hatch</v>
      </c>
      <c r="E291" s="6" t="s">
        <v>28</v>
      </c>
      <c r="F291" s="6" t="str">
        <f>'Detailed Car List + Stats'!G291</f>
        <v>Japan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6.5" customHeight="1">
      <c r="A292" s="6" t="str">
        <f>'Detailed Car List + Stats'!B292</f>
        <v>2015</v>
      </c>
      <c r="B292" s="6" t="str">
        <f>'Detailed Car List + Stats'!C292</f>
        <v>Honda</v>
      </c>
      <c r="C292" s="6" t="str">
        <f>'Detailed Car List + Stats'!D292</f>
        <v>Ridgeline Baja Trophy Truck</v>
      </c>
      <c r="D292" s="6" t="str">
        <f>'Detailed Car List + Stats'!E292</f>
        <v>Unlimited Offroad</v>
      </c>
      <c r="E292" s="6" t="s">
        <v>35</v>
      </c>
      <c r="F292" s="6" t="str">
        <f>'Detailed Car List + Stats'!G292</f>
        <v>Japan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6.5" customHeight="1">
      <c r="A293" s="6" t="str">
        <f>'Detailed Car List + Stats'!B293</f>
        <v>2003</v>
      </c>
      <c r="B293" s="6" t="str">
        <f>'Detailed Car List + Stats'!C293</f>
        <v>Honda</v>
      </c>
      <c r="C293" s="6" t="str">
        <f>'Detailed Car List + Stats'!D293</f>
        <v>S2000</v>
      </c>
      <c r="D293" s="6" t="str">
        <f>'Detailed Car List + Stats'!E293</f>
        <v>Modern Sports Cars</v>
      </c>
      <c r="E293" s="6" t="s">
        <v>35</v>
      </c>
      <c r="F293" s="6" t="str">
        <f>'Detailed Car List + Stats'!G293</f>
        <v>Japan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6.5" customHeight="1">
      <c r="A294" s="6" t="str">
        <f>'Detailed Car List + Stats'!B294</f>
        <v>1970</v>
      </c>
      <c r="B294" s="6" t="str">
        <f>'Detailed Car List + Stats'!C294</f>
        <v>Honda</v>
      </c>
      <c r="C294" s="6" t="str">
        <f>'Detailed Car List + Stats'!D294</f>
        <v>S800</v>
      </c>
      <c r="D294" s="6" t="str">
        <f>'Detailed Car List + Stats'!E294</f>
        <v>Cult Cars</v>
      </c>
      <c r="E294" s="6" t="s">
        <v>31</v>
      </c>
      <c r="F294" s="6" t="str">
        <f>'Detailed Car List + Stats'!G294</f>
        <v>Japan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6.5" customHeight="1">
      <c r="A295" s="6" t="str">
        <f>'Detailed Car List + Stats'!B295</f>
        <v>1972</v>
      </c>
      <c r="B295" s="6" t="str">
        <f>'Detailed Car List + Stats'!C295</f>
        <v>Honda</v>
      </c>
      <c r="C295" s="6" t="str">
        <f>'Detailed Car List + Stats'!D295</f>
        <v>Z GT</v>
      </c>
      <c r="D295" s="6" t="str">
        <f>'Detailed Car List + Stats'!E295</f>
        <v>Eclectic Domestics</v>
      </c>
      <c r="E295" s="6" t="s">
        <v>31</v>
      </c>
      <c r="F295" s="6" t="str">
        <f>'Detailed Car List + Stats'!G295</f>
        <v>Japan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6.5" customHeight="1">
      <c r="A296" s="6" t="str">
        <f>'Detailed Car List + Stats'!B296</f>
        <v>2014</v>
      </c>
      <c r="B296" s="6" t="str">
        <f>'Detailed Car List + Stats'!C296</f>
        <v>HSV</v>
      </c>
      <c r="C296" s="6" t="str">
        <f>'Detailed Car List + Stats'!D296</f>
        <v>GEN-F GTS</v>
      </c>
      <c r="D296" s="6" t="str">
        <f>'Detailed Car List + Stats'!E296</f>
        <v>Modern Muscle</v>
      </c>
      <c r="E296" s="6" t="s">
        <v>78</v>
      </c>
      <c r="F296" s="6" t="str">
        <f>'Detailed Car List + Stats'!G296</f>
        <v>Australia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6.5" customHeight="1">
      <c r="A297" s="6" t="str">
        <f>'Detailed Car List + Stats'!B297</f>
        <v>2014</v>
      </c>
      <c r="B297" s="6" t="str">
        <f>'Detailed Car List + Stats'!C297</f>
        <v>HSV</v>
      </c>
      <c r="C297" s="6" t="str">
        <f>'Detailed Car List + Stats'!D297</f>
        <v>Limited Edition GEN-F GTS Maloo</v>
      </c>
      <c r="D297" s="6" t="str">
        <f>'Detailed Car List + Stats'!E297</f>
        <v>Utility Heroes</v>
      </c>
      <c r="E297" s="6" t="s">
        <v>78</v>
      </c>
      <c r="F297" s="6" t="str">
        <f>'Detailed Car List + Stats'!G297</f>
        <v>Australia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6.5" customHeight="1">
      <c r="A298" s="6" t="str">
        <f>'Detailed Car List + Stats'!B298</f>
        <v>2021</v>
      </c>
      <c r="B298" s="6" t="str">
        <f>'Detailed Car List + Stats'!C298</f>
        <v>Hyundai</v>
      </c>
      <c r="C298" s="6" t="str">
        <f>'Detailed Car List + Stats'!D298</f>
        <v>i20 N</v>
      </c>
      <c r="D298" s="6" t="str">
        <f>'Detailed Car List + Stats'!E298</f>
        <v>Hot Hatch</v>
      </c>
      <c r="E298" s="6" t="s">
        <v>35</v>
      </c>
      <c r="F298" s="6" t="str">
        <f>'Detailed Car List + Stats'!G298</f>
        <v>Korea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6.5" customHeight="1">
      <c r="A299" s="6" t="str">
        <f>'Detailed Car List + Stats'!B299</f>
        <v>2020</v>
      </c>
      <c r="B299" s="6" t="str">
        <f>'Detailed Car List + Stats'!C299</f>
        <v>Hyundai</v>
      </c>
      <c r="C299" s="6" t="str">
        <f>'Detailed Car List + Stats'!D299</f>
        <v>i30 N</v>
      </c>
      <c r="D299" s="6" t="str">
        <f>'Detailed Car List + Stats'!E299</f>
        <v>Super Hot Hatch</v>
      </c>
      <c r="E299" s="6" t="s">
        <v>35</v>
      </c>
      <c r="F299" s="6" t="str">
        <f>'Detailed Car List + Stats'!G299</f>
        <v>Korea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6.5" customHeight="1">
      <c r="A300" s="6" t="str">
        <f>'Detailed Car List + Stats'!B300</f>
        <v>2023</v>
      </c>
      <c r="B300" s="6" t="str">
        <f>'Detailed Car List + Stats'!C300</f>
        <v>Hyundai</v>
      </c>
      <c r="C300" s="6" t="str">
        <f>'Detailed Car List + Stats'!D300</f>
        <v>IONIQ 5 N</v>
      </c>
      <c r="D300" s="6" t="str">
        <f>'Detailed Car List + Stats'!E300</f>
        <v>Sports Utility Heroes</v>
      </c>
      <c r="E300" s="6" t="s">
        <v>78</v>
      </c>
      <c r="F300" s="6" t="str">
        <f>'Detailed Car List + Stats'!G300</f>
        <v>Korea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6.5" customHeight="1">
      <c r="A301" s="6" t="str">
        <f>'Detailed Car List + Stats'!B301</f>
        <v>2022</v>
      </c>
      <c r="B301" s="6" t="str">
        <f>'Detailed Car List + Stats'!C301</f>
        <v>Hyundai</v>
      </c>
      <c r="C301" s="6" t="str">
        <f>'Detailed Car List + Stats'!D301</f>
        <v>N Vision 74</v>
      </c>
      <c r="D301" s="6" t="str">
        <f>'Detailed Car List + Stats'!E301</f>
        <v>Track Toys</v>
      </c>
      <c r="E301" s="6" t="s">
        <v>78</v>
      </c>
      <c r="F301" s="6" t="str">
        <f>'Detailed Car List + Stats'!G301</f>
        <v>Korea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6.5" customHeight="1">
      <c r="A302" s="6" t="str">
        <f>'Detailed Car List + Stats'!B302</f>
        <v>2019</v>
      </c>
      <c r="B302" s="6" t="str">
        <f>'Detailed Car List + Stats'!C302</f>
        <v>Hyundai</v>
      </c>
      <c r="C302" s="6" t="str">
        <f>'Detailed Car List + Stats'!D302</f>
        <v>Veloster N</v>
      </c>
      <c r="D302" s="6" t="str">
        <f>'Detailed Car List + Stats'!E302</f>
        <v>Super Hot Hatch</v>
      </c>
      <c r="E302" s="6" t="s">
        <v>35</v>
      </c>
      <c r="F302" s="6" t="str">
        <f>'Detailed Car List + Stats'!G302</f>
        <v>Korea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6.5" customHeight="1">
      <c r="A303" s="6" t="str">
        <f>'Detailed Car List + Stats'!B303</f>
        <v>2010</v>
      </c>
      <c r="B303" s="6" t="str">
        <f>'Detailed Car List + Stats'!C303</f>
        <v>Jaguar</v>
      </c>
      <c r="C303" s="6" t="str">
        <f>'Detailed Car List + Stats'!D303</f>
        <v>C-X75</v>
      </c>
      <c r="D303" s="6" t="str">
        <f>'Detailed Car List + Stats'!E303</f>
        <v>Modern Supercars</v>
      </c>
      <c r="E303" s="6" t="s">
        <v>138</v>
      </c>
      <c r="F303" s="6" t="str">
        <f>'Detailed Car List + Stats'!G303</f>
        <v>UK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6.5" customHeight="1">
      <c r="A304" s="6" t="str">
        <f>'Detailed Car List + Stats'!B304</f>
        <v>1956</v>
      </c>
      <c r="B304" s="6" t="str">
        <f>'Detailed Car List + Stats'!C304</f>
        <v>Jaguar</v>
      </c>
      <c r="C304" s="6" t="str">
        <f>'Detailed Car List + Stats'!D304</f>
        <v>D-Type</v>
      </c>
      <c r="D304" s="6" t="str">
        <f>'Detailed Car List + Stats'!E304</f>
        <v>Classic Racers</v>
      </c>
      <c r="E304" s="6" t="s">
        <v>35</v>
      </c>
      <c r="F304" s="6" t="str">
        <f>'Detailed Car List + Stats'!G304</f>
        <v>UK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6.5" customHeight="1">
      <c r="A305" s="6" t="str">
        <f>'Detailed Car List + Stats'!B305</f>
        <v>1961</v>
      </c>
      <c r="B305" s="6" t="str">
        <f>'Detailed Car List + Stats'!C305</f>
        <v>Jaguar</v>
      </c>
      <c r="C305" s="6" t="str">
        <f>'Detailed Car List + Stats'!D305</f>
        <v>E-type</v>
      </c>
      <c r="D305" s="6" t="str">
        <f>'Detailed Car List + Stats'!E305</f>
        <v>Rare Classics</v>
      </c>
      <c r="E305" s="6" t="s">
        <v>28</v>
      </c>
      <c r="F305" s="6" t="str">
        <f>'Detailed Car List + Stats'!G305</f>
        <v>UK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6.5" customHeight="1">
      <c r="A306" s="6" t="str">
        <f>'Detailed Car List + Stats'!B306</f>
        <v>1964</v>
      </c>
      <c r="B306" s="6" t="str">
        <f>'Detailed Car List + Stats'!C306</f>
        <v>Jaguar</v>
      </c>
      <c r="C306" s="6" t="str">
        <f>'Detailed Car List + Stats'!D306</f>
        <v>Lightweight E-Type</v>
      </c>
      <c r="D306" s="6" t="str">
        <f>'Detailed Car List + Stats'!E306</f>
        <v>Classic Racers</v>
      </c>
      <c r="E306" s="6" t="s">
        <v>35</v>
      </c>
      <c r="F306" s="6" t="str">
        <f>'Detailed Car List + Stats'!G306</f>
        <v>UK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6.5" customHeight="1">
      <c r="A307" s="6" t="str">
        <f>'Detailed Car List + Stats'!B307</f>
        <v>1991</v>
      </c>
      <c r="B307" s="6" t="str">
        <f>'Detailed Car List + Stats'!C307</f>
        <v>Jaguar</v>
      </c>
      <c r="C307" s="6" t="str">
        <f>'Detailed Car List + Stats'!D307</f>
        <v>Sport XJR-15</v>
      </c>
      <c r="D307" s="6" t="str">
        <f>'Detailed Car List + Stats'!E307</f>
        <v>Retro Supercars</v>
      </c>
      <c r="E307" s="6" t="s">
        <v>53</v>
      </c>
      <c r="F307" s="6" t="str">
        <f>'Detailed Car List + Stats'!G307</f>
        <v>UK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6.5" customHeight="1">
      <c r="A308" s="6" t="str">
        <f>'Detailed Car List + Stats'!B308</f>
        <v>1993</v>
      </c>
      <c r="B308" s="6" t="str">
        <f>'Detailed Car List + Stats'!C308</f>
        <v>Jaguar</v>
      </c>
      <c r="C308" s="6" t="str">
        <f>'Detailed Car List + Stats'!D308</f>
        <v>XJ220</v>
      </c>
      <c r="D308" s="6" t="str">
        <f>'Detailed Car List + Stats'!E308</f>
        <v>Retro Supercars</v>
      </c>
      <c r="E308" s="6" t="s">
        <v>78</v>
      </c>
      <c r="F308" s="6" t="str">
        <f>'Detailed Car List + Stats'!G308</f>
        <v>UK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6.5" customHeight="1">
      <c r="A309" s="6" t="str">
        <f>'Detailed Car List + Stats'!B309</f>
        <v>1993</v>
      </c>
      <c r="B309" s="6" t="str">
        <f>'Detailed Car List + Stats'!C309</f>
        <v>Jaguar</v>
      </c>
      <c r="C309" s="6" t="str">
        <f>'Detailed Car List + Stats'!D309</f>
        <v>XJ220S TWR</v>
      </c>
      <c r="D309" s="6" t="str">
        <f>'Detailed Car List + Stats'!E309</f>
        <v>Retro Supercars</v>
      </c>
      <c r="E309" s="6" t="s">
        <v>53</v>
      </c>
      <c r="F309" s="6" t="str">
        <f>'Detailed Car List + Stats'!G309</f>
        <v>UK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6.5" customHeight="1">
      <c r="A310" s="6" t="str">
        <f>'Detailed Car List + Stats'!B310</f>
        <v>2018</v>
      </c>
      <c r="B310" s="6" t="str">
        <f>'Detailed Car List + Stats'!C310</f>
        <v>Jeep</v>
      </c>
      <c r="C310" s="6" t="str">
        <f>'Detailed Car List + Stats'!D310</f>
        <v>Grand Cherokee Trackhawk</v>
      </c>
      <c r="D310" s="6" t="str">
        <f>'Detailed Car List + Stats'!E310</f>
        <v>Sports Utility Heroes</v>
      </c>
      <c r="E310" s="6" t="s">
        <v>78</v>
      </c>
      <c r="F310" s="6" t="str">
        <f>'Detailed Car List + Stats'!G310</f>
        <v>USA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6.5" customHeight="1">
      <c r="A311" s="6" t="str">
        <f>'Detailed Car List + Stats'!B311</f>
        <v>2020</v>
      </c>
      <c r="B311" s="6" t="str">
        <f>'Detailed Car List + Stats'!C311</f>
        <v>Jeep</v>
      </c>
      <c r="C311" s="6" t="str">
        <f>'Detailed Car List + Stats'!D311</f>
        <v>JT (Gladiator)</v>
      </c>
      <c r="D311" s="6" t="str">
        <f>'Detailed Car List + Stats'!E311</f>
        <v>Pickups &amp; 4x4s</v>
      </c>
      <c r="E311" s="6" t="s">
        <v>31</v>
      </c>
      <c r="F311" s="6" t="str">
        <f>'Detailed Car List + Stats'!G311</f>
        <v>USA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6.5" customHeight="1">
      <c r="A312" s="6" t="str">
        <f>'Detailed Car List + Stats'!B312</f>
        <v>2016</v>
      </c>
      <c r="B312" s="6" t="str">
        <f>'Detailed Car List + Stats'!C312</f>
        <v>Jeep</v>
      </c>
      <c r="C312" s="6" t="str">
        <f>'Detailed Car List + Stats'!D312</f>
        <v>Trailcat</v>
      </c>
      <c r="D312" s="6" t="str">
        <f>'Detailed Car List + Stats'!E312</f>
        <v>Unlimited Offroad</v>
      </c>
      <c r="E312" s="6" t="s">
        <v>78</v>
      </c>
      <c r="F312" s="6" t="str">
        <f>'Detailed Car List + Stats'!G312</f>
        <v>USA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6.5" customHeight="1">
      <c r="A313" s="6" t="str">
        <f>'Detailed Car List + Stats'!B313</f>
        <v>2012</v>
      </c>
      <c r="B313" s="6" t="str">
        <f>'Detailed Car List + Stats'!C313</f>
        <v>Jeep</v>
      </c>
      <c r="C313" s="6" t="str">
        <f>'Detailed Car List + Stats'!D313</f>
        <v>Wrangler Rubicon</v>
      </c>
      <c r="D313" s="6" t="str">
        <f>'Detailed Car List + Stats'!E313</f>
        <v>Pickups &amp; 4x4s</v>
      </c>
      <c r="E313" s="6" t="s">
        <v>31</v>
      </c>
      <c r="F313" s="6" t="str">
        <f>'Detailed Car List + Stats'!G313</f>
        <v>USA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6.5" customHeight="1">
      <c r="A314" s="6" t="str">
        <f>'Detailed Car List + Stats'!B314</f>
        <v>2020</v>
      </c>
      <c r="B314" s="6" t="str">
        <f>'Detailed Car List + Stats'!C314</f>
        <v>Jimco</v>
      </c>
      <c r="C314" s="6" t="str">
        <f>'Detailed Car List + Stats'!D314</f>
        <v>#179 Hammerhead Class 1</v>
      </c>
      <c r="D314" s="6" t="str">
        <f>'Detailed Car List + Stats'!E314</f>
        <v>Unlimited Buggies</v>
      </c>
      <c r="E314" s="6" t="s">
        <v>78</v>
      </c>
      <c r="F314" s="6" t="str">
        <f>'Detailed Car List + Stats'!G314</f>
        <v>USA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6.5" customHeight="1">
      <c r="A315" s="6" t="str">
        <f>'Detailed Car List + Stats'!B315</f>
        <v>2019</v>
      </c>
      <c r="B315" s="6" t="str">
        <f>'Detailed Car List + Stats'!C315</f>
        <v>Jimco</v>
      </c>
      <c r="C315" s="6" t="str">
        <f>'Detailed Car List + Stats'!D315</f>
        <v>#240 Fastball Racing Class 6100 Spec Trophy Truck</v>
      </c>
      <c r="D315" s="6" t="str">
        <f>'Detailed Car List + Stats'!E315</f>
        <v>Unlimited Offroad</v>
      </c>
      <c r="E315" s="6" t="s">
        <v>35</v>
      </c>
      <c r="F315" s="6" t="str">
        <f>'Detailed Car List + Stats'!G315</f>
        <v>USA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6.5" customHeight="1">
      <c r="A316" s="6" t="str">
        <f>'Detailed Car List + Stats'!B316</f>
        <v>2011</v>
      </c>
      <c r="B316" s="6" t="str">
        <f>'Detailed Car List + Stats'!C316</f>
        <v>Koenigsegg</v>
      </c>
      <c r="C316" s="6" t="str">
        <f>'Detailed Car List + Stats'!D316</f>
        <v>Agera</v>
      </c>
      <c r="D316" s="6" t="str">
        <f>'Detailed Car List + Stats'!E316</f>
        <v>Hypercars</v>
      </c>
      <c r="E316" s="6" t="s">
        <v>138</v>
      </c>
      <c r="F316" s="6" t="str">
        <f>'Detailed Car List + Stats'!G316</f>
        <v>Sweden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6.5" customHeight="1">
      <c r="A317" s="6" t="str">
        <f>'Detailed Car List + Stats'!B317</f>
        <v>2017</v>
      </c>
      <c r="B317" s="6" t="str">
        <f>'Detailed Car List + Stats'!C317</f>
        <v>Koenigsegg</v>
      </c>
      <c r="C317" s="6" t="str">
        <f>'Detailed Car List + Stats'!D317</f>
        <v>Agera RS</v>
      </c>
      <c r="D317" s="6" t="str">
        <f>'Detailed Car List + Stats'!E317</f>
        <v>Hypercars</v>
      </c>
      <c r="E317" s="6" t="s">
        <v>138</v>
      </c>
      <c r="F317" s="6" t="str">
        <f>'Detailed Car List + Stats'!G317</f>
        <v>Sweden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6.5" customHeight="1">
      <c r="A318" s="6" t="str">
        <f>'Detailed Car List + Stats'!B318</f>
        <v>2008</v>
      </c>
      <c r="B318" s="6" t="str">
        <f>'Detailed Car List + Stats'!C318</f>
        <v>Koenigsegg</v>
      </c>
      <c r="C318" s="6" t="str">
        <f>'Detailed Car List + Stats'!D318</f>
        <v>CCGT</v>
      </c>
      <c r="D318" s="6" t="str">
        <f>'Detailed Car List + Stats'!E318</f>
        <v>Extreme Track Toys</v>
      </c>
      <c r="E318" s="6" t="s">
        <v>138</v>
      </c>
      <c r="F318" s="6" t="str">
        <f>'Detailed Car List + Stats'!G318</f>
        <v>Sweden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6.5" customHeight="1">
      <c r="A319" s="6" t="str">
        <f>'Detailed Car List + Stats'!B319</f>
        <v>2024</v>
      </c>
      <c r="B319" s="6" t="str">
        <f>'Detailed Car List + Stats'!C319</f>
        <v>Koenigsegg</v>
      </c>
      <c r="C319" s="6" t="str">
        <f>'Detailed Car List + Stats'!D319</f>
        <v>Gemera</v>
      </c>
      <c r="D319" s="6" t="str">
        <f>'Detailed Car List + Stats'!E319</f>
        <v>Hypercars</v>
      </c>
      <c r="E319" s="6" t="s">
        <v>138</v>
      </c>
      <c r="F319" s="6" t="str">
        <f>'Detailed Car List + Stats'!G319</f>
        <v>Sweden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6.5" customHeight="1">
      <c r="A320" s="6" t="str">
        <f>'Detailed Car List + Stats'!B320</f>
        <v>2020</v>
      </c>
      <c r="B320" s="6" t="str">
        <f>'Detailed Car List + Stats'!C320</f>
        <v>Koenigsegg</v>
      </c>
      <c r="C320" s="6" t="str">
        <f>'Detailed Car List + Stats'!D320</f>
        <v>Jesko</v>
      </c>
      <c r="D320" s="6" t="str">
        <f>'Detailed Car List + Stats'!E320</f>
        <v>Hypercars</v>
      </c>
      <c r="E320" s="6" t="s">
        <v>138</v>
      </c>
      <c r="F320" s="6" t="str">
        <f>'Detailed Car List + Stats'!G320</f>
        <v>Sweden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6.5" customHeight="1">
      <c r="A321" s="6" t="str">
        <f>'Detailed Car List + Stats'!B321</f>
        <v>2015</v>
      </c>
      <c r="B321" s="6" t="str">
        <f>'Detailed Car List + Stats'!C321</f>
        <v>Koenigsegg</v>
      </c>
      <c r="C321" s="6" t="str">
        <f>'Detailed Car List + Stats'!D321</f>
        <v>One:1</v>
      </c>
      <c r="D321" s="6" t="str">
        <f>'Detailed Car List + Stats'!E321</f>
        <v>Hypercars</v>
      </c>
      <c r="E321" s="6" t="s">
        <v>138</v>
      </c>
      <c r="F321" s="6" t="str">
        <f>'Detailed Car List + Stats'!G321</f>
        <v>Sweden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6.5" customHeight="1">
      <c r="A322" s="6" t="str">
        <f>'Detailed Car List + Stats'!B322</f>
        <v>2016</v>
      </c>
      <c r="B322" s="6" t="str">
        <f>'Detailed Car List + Stats'!C322</f>
        <v>Koenigsegg</v>
      </c>
      <c r="C322" s="6" t="str">
        <f>'Detailed Car List + Stats'!D322</f>
        <v>Regera</v>
      </c>
      <c r="D322" s="6" t="str">
        <f>'Detailed Car List + Stats'!E322</f>
        <v>Hypercars</v>
      </c>
      <c r="E322" s="6" t="s">
        <v>138</v>
      </c>
      <c r="F322" s="6" t="str">
        <f>'Detailed Car List + Stats'!G322</f>
        <v>Sweden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6.5" customHeight="1">
      <c r="A323" s="6" t="str">
        <f>'Detailed Car List + Stats'!B323</f>
        <v>2018</v>
      </c>
      <c r="B323" s="6" t="str">
        <f>'Detailed Car List + Stats'!C323</f>
        <v>KTM</v>
      </c>
      <c r="C323" s="6" t="str">
        <f>'Detailed Car List + Stats'!D323</f>
        <v>X-Bow GT4</v>
      </c>
      <c r="D323" s="6" t="str">
        <f>'Detailed Car List + Stats'!E323</f>
        <v>Extreme Track Toys</v>
      </c>
      <c r="E323" s="6" t="s">
        <v>53</v>
      </c>
      <c r="F323" s="6" t="str">
        <f>'Detailed Car List + Stats'!G323</f>
        <v>Austria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6.5" customHeight="1">
      <c r="A324" s="6" t="str">
        <f>'Detailed Car List + Stats'!B324</f>
        <v>2022</v>
      </c>
      <c r="B324" s="6" t="str">
        <f>'Detailed Car List + Stats'!C324</f>
        <v>Lamborghini</v>
      </c>
      <c r="C324" s="6" t="str">
        <f>'Detailed Car List + Stats'!D324</f>
        <v>Aventador LP 780-4 Ultimae</v>
      </c>
      <c r="D324" s="6" t="str">
        <f>'Detailed Car List + Stats'!E324</f>
        <v>Hypercars</v>
      </c>
      <c r="E324" s="6" t="s">
        <v>53</v>
      </c>
      <c r="F324" s="6" t="str">
        <f>'Detailed Car List + Stats'!G324</f>
        <v>Italy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6.5" customHeight="1">
      <c r="A325" s="6" t="str">
        <f>'Detailed Car List + Stats'!B325</f>
        <v>2012</v>
      </c>
      <c r="B325" s="6" t="str">
        <f>'Detailed Car List + Stats'!C325</f>
        <v>Lamborghini</v>
      </c>
      <c r="C325" s="6" t="str">
        <f>'Detailed Car List + Stats'!D325</f>
        <v>Aventador LP700-4</v>
      </c>
      <c r="D325" s="6" t="str">
        <f>'Detailed Car List + Stats'!E325</f>
        <v>Hypercars</v>
      </c>
      <c r="E325" s="6" t="s">
        <v>53</v>
      </c>
      <c r="F325" s="6" t="str">
        <f>'Detailed Car List + Stats'!G325</f>
        <v>Italy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6.5" customHeight="1">
      <c r="A326" s="6" t="str">
        <f>'Detailed Car List + Stats'!B326</f>
        <v>2018</v>
      </c>
      <c r="B326" s="6" t="str">
        <f>'Detailed Car List + Stats'!C326</f>
        <v>Lamborghini</v>
      </c>
      <c r="C326" s="6" t="str">
        <f>'Detailed Car List + Stats'!D326</f>
        <v>Aventador SVJ</v>
      </c>
      <c r="D326" s="6" t="str">
        <f>'Detailed Car List + Stats'!E326</f>
        <v>Hypercars</v>
      </c>
      <c r="E326" s="6" t="s">
        <v>53</v>
      </c>
      <c r="F326" s="6" t="str">
        <f>'Detailed Car List + Stats'!G326</f>
        <v>Italy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6.5" customHeight="1">
      <c r="A327" s="6" t="str">
        <f>'Detailed Car List + Stats'!B327</f>
        <v>2016</v>
      </c>
      <c r="B327" s="6" t="str">
        <f>'Detailed Car List + Stats'!C327</f>
        <v>Lamborghini</v>
      </c>
      <c r="C327" s="6" t="str">
        <f>'Detailed Car List + Stats'!D327</f>
        <v>Centenario LP 770-4</v>
      </c>
      <c r="D327" s="6" t="str">
        <f>'Detailed Car List + Stats'!E327</f>
        <v>Hypercars</v>
      </c>
      <c r="E327" s="6" t="s">
        <v>53</v>
      </c>
      <c r="F327" s="6" t="str">
        <f>'Detailed Car List + Stats'!G327</f>
        <v>Italy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6.5" customHeight="1">
      <c r="A328" s="6" t="str">
        <f>'Detailed Car List + Stats'!B328</f>
        <v>1988</v>
      </c>
      <c r="B328" s="6" t="str">
        <f>'Detailed Car List + Stats'!C328</f>
        <v>Lamborghini</v>
      </c>
      <c r="C328" s="6" t="str">
        <f>'Detailed Car List + Stats'!D328</f>
        <v>Countach LP5000 QV</v>
      </c>
      <c r="D328" s="6" t="str">
        <f>'Detailed Car List + Stats'!E328</f>
        <v>Retro Supercars</v>
      </c>
      <c r="E328" s="6" t="s">
        <v>78</v>
      </c>
      <c r="F328" s="6" t="str">
        <f>'Detailed Car List + Stats'!G328</f>
        <v>Italy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6.5" customHeight="1">
      <c r="A329" s="6" t="str">
        <f>'Detailed Car List + Stats'!B329</f>
        <v>2021</v>
      </c>
      <c r="B329" s="6" t="str">
        <f>'Detailed Car List + Stats'!C329</f>
        <v>Lamborghini</v>
      </c>
      <c r="C329" s="6" t="str">
        <f>'Detailed Car List + Stats'!D329</f>
        <v>Countach LPI 800-4</v>
      </c>
      <c r="D329" s="6" t="str">
        <f>'Detailed Car List + Stats'!E329</f>
        <v>Hypercars</v>
      </c>
      <c r="E329" s="6" t="s">
        <v>53</v>
      </c>
      <c r="F329" s="6" t="str">
        <f>'Detailed Car List + Stats'!G329</f>
        <v>Italy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6.5" customHeight="1">
      <c r="A330" s="6" t="str">
        <f>'Detailed Car List + Stats'!B330</f>
        <v>1999</v>
      </c>
      <c r="B330" s="6" t="str">
        <f>'Detailed Car List + Stats'!C330</f>
        <v>Lamborghini</v>
      </c>
      <c r="C330" s="6" t="str">
        <f>'Detailed Car List + Stats'!D330</f>
        <v>Diablo GTR</v>
      </c>
      <c r="D330" s="6" t="str">
        <f>'Detailed Car List + Stats'!E330</f>
        <v>Extreme Track Toys</v>
      </c>
      <c r="E330" s="6" t="s">
        <v>138</v>
      </c>
      <c r="F330" s="6" t="str">
        <f>'Detailed Car List + Stats'!G330</f>
        <v>Italy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6.5" customHeight="1">
      <c r="A331" s="6" t="str">
        <f>'Detailed Car List + Stats'!B331</f>
        <v>1997</v>
      </c>
      <c r="B331" s="6" t="str">
        <f>'Detailed Car List + Stats'!C331</f>
        <v>Lamborghini</v>
      </c>
      <c r="C331" s="6" t="str">
        <f>'Detailed Car List + Stats'!D331</f>
        <v>Diablo SV</v>
      </c>
      <c r="D331" s="6" t="str">
        <f>'Detailed Car List + Stats'!E331</f>
        <v>Retro Supercars</v>
      </c>
      <c r="E331" s="6" t="s">
        <v>78</v>
      </c>
      <c r="F331" s="6" t="str">
        <f>'Detailed Car List + Stats'!G331</f>
        <v>Italy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6.5" customHeight="1">
      <c r="A332" s="6" t="str">
        <f>'Detailed Car List + Stats'!B332</f>
        <v>2020</v>
      </c>
      <c r="B332" s="6" t="str">
        <f>'Detailed Car List + Stats'!C332</f>
        <v>Lamborghini</v>
      </c>
      <c r="C332" s="6" t="str">
        <f>'Detailed Car List + Stats'!D332</f>
        <v>Essenza SCV12</v>
      </c>
      <c r="D332" s="6" t="str">
        <f>'Detailed Car List + Stats'!E332</f>
        <v>Extreme Track Toys</v>
      </c>
      <c r="E332" s="6" t="s">
        <v>108</v>
      </c>
      <c r="F332" s="6" t="str">
        <f>'Detailed Car List + Stats'!G332</f>
        <v>Italy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6.5" customHeight="1">
      <c r="A333" s="6" t="str">
        <f>'Detailed Car List + Stats'!B333</f>
        <v>2012</v>
      </c>
      <c r="B333" s="6" t="str">
        <f>'Detailed Car List + Stats'!C333</f>
        <v>Lamborghini</v>
      </c>
      <c r="C333" s="6" t="str">
        <f>'Detailed Car List + Stats'!D333</f>
        <v>Gallardo LP570-4 Spider Performante</v>
      </c>
      <c r="D333" s="6" t="str">
        <f>'Detailed Car List + Stats'!E333</f>
        <v>Modern Supercars</v>
      </c>
      <c r="E333" s="6" t="s">
        <v>78</v>
      </c>
      <c r="F333" s="6" t="str">
        <f>'Detailed Car List + Stats'!G333</f>
        <v>Italy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6.5" customHeight="1">
      <c r="A334" s="6" t="str">
        <f>'Detailed Car List + Stats'!B334</f>
        <v>2020</v>
      </c>
      <c r="B334" s="6" t="str">
        <f>'Detailed Car List + Stats'!C334</f>
        <v>Lamborghini</v>
      </c>
      <c r="C334" s="6" t="str">
        <f>'Detailed Car List + Stats'!D334</f>
        <v>Huracán EVO</v>
      </c>
      <c r="D334" s="6" t="str">
        <f>'Detailed Car List + Stats'!E334</f>
        <v>Modern Supercars</v>
      </c>
      <c r="E334" s="6" t="s">
        <v>53</v>
      </c>
      <c r="F334" s="6" t="str">
        <f>'Detailed Car List + Stats'!G334</f>
        <v>Italy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6.5" customHeight="1">
      <c r="A335" s="6" t="str">
        <f>'Detailed Car List + Stats'!B335</f>
        <v>2022</v>
      </c>
      <c r="B335" s="6" t="str">
        <f>'Detailed Car List + Stats'!C335</f>
        <v>Lamborghini</v>
      </c>
      <c r="C335" s="6" t="str">
        <f>'Detailed Car List + Stats'!D335</f>
        <v>Huracán EVO Spider</v>
      </c>
      <c r="D335" s="6" t="str">
        <f>'Detailed Car List + Stats'!E335</f>
        <v>Modern Supercars</v>
      </c>
      <c r="E335" s="6" t="s">
        <v>53</v>
      </c>
      <c r="F335" s="6" t="str">
        <f>'Detailed Car List + Stats'!G335</f>
        <v>Italy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6.5" customHeight="1">
      <c r="A336" s="6" t="str">
        <f>'Detailed Car List + Stats'!B336</f>
        <v>2014</v>
      </c>
      <c r="B336" s="6" t="str">
        <f>'Detailed Car List + Stats'!C336</f>
        <v>Lamborghini</v>
      </c>
      <c r="C336" s="6" t="str">
        <f>'Detailed Car List + Stats'!D336</f>
        <v>Huracán LP 610-4</v>
      </c>
      <c r="D336" s="6" t="str">
        <f>'Detailed Car List + Stats'!E336</f>
        <v>Modern Supercars</v>
      </c>
      <c r="E336" s="6" t="s">
        <v>53</v>
      </c>
      <c r="F336" s="6" t="str">
        <f>'Detailed Car List + Stats'!G336</f>
        <v>Italy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6.5" customHeight="1">
      <c r="A337" s="6" t="str">
        <f>'Detailed Car List + Stats'!B337</f>
        <v>2022</v>
      </c>
      <c r="B337" s="6" t="str">
        <f>'Detailed Car List + Stats'!C337</f>
        <v>Lamborghini</v>
      </c>
      <c r="C337" s="6" t="str">
        <f>'Detailed Car List + Stats'!D337</f>
        <v>Huracán Sterrato</v>
      </c>
      <c r="D337" s="6" t="str">
        <f>'Detailed Car List + Stats'!E337</f>
        <v>Rally Monsters</v>
      </c>
      <c r="E337" s="6" t="s">
        <v>53</v>
      </c>
      <c r="F337" s="6" t="str">
        <f>'Detailed Car List + Stats'!G337</f>
        <v>Italy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6.5" customHeight="1">
      <c r="A338" s="6" t="str">
        <f>'Detailed Car List + Stats'!B338</f>
        <v>2020</v>
      </c>
      <c r="B338" s="6" t="str">
        <f>'Detailed Car List + Stats'!C338</f>
        <v>Lamborghini</v>
      </c>
      <c r="C338" s="6" t="str">
        <f>'Detailed Car List + Stats'!D338</f>
        <v>Huracán STO</v>
      </c>
      <c r="D338" s="6" t="str">
        <f>'Detailed Car List + Stats'!E338</f>
        <v>Track Toys</v>
      </c>
      <c r="E338" s="6" t="s">
        <v>53</v>
      </c>
      <c r="F338" s="6" t="str">
        <f>'Detailed Car List + Stats'!G338</f>
        <v>Italy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6.5" customHeight="1">
      <c r="A339" s="6" t="str">
        <f>'Detailed Car List + Stats'!B339</f>
        <v>2022</v>
      </c>
      <c r="B339" s="6" t="str">
        <f>'Detailed Car List + Stats'!C339</f>
        <v>Lamborghini</v>
      </c>
      <c r="C339" s="6" t="str">
        <f>'Detailed Car List + Stats'!D339</f>
        <v>Huracán Tecnica</v>
      </c>
      <c r="D339" s="6" t="str">
        <f>'Detailed Car List + Stats'!E339</f>
        <v>Modern Supercars</v>
      </c>
      <c r="E339" s="6" t="s">
        <v>53</v>
      </c>
      <c r="F339" s="6" t="str">
        <f>'Detailed Car List + Stats'!G339</f>
        <v>Italy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6.5" customHeight="1">
      <c r="A340" s="6" t="str">
        <f>'Detailed Car List + Stats'!B340</f>
        <v>1967</v>
      </c>
      <c r="B340" s="6" t="str">
        <f>'Detailed Car List + Stats'!C340</f>
        <v>Lamborghini</v>
      </c>
      <c r="C340" s="6" t="str">
        <f>'Detailed Car List + Stats'!D340</f>
        <v>Miura P400</v>
      </c>
      <c r="D340" s="6" t="str">
        <f>'Detailed Car List + Stats'!E340</f>
        <v>Rare Classics</v>
      </c>
      <c r="E340" s="6" t="s">
        <v>35</v>
      </c>
      <c r="F340" s="6" t="str">
        <f>'Detailed Car List + Stats'!G340</f>
        <v>Italy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6.5" customHeight="1">
      <c r="A341" s="6" t="str">
        <f>'Detailed Car List + Stats'!B341</f>
        <v>2010</v>
      </c>
      <c r="B341" s="6" t="str">
        <f>'Detailed Car List + Stats'!C341</f>
        <v>Lamborghini</v>
      </c>
      <c r="C341" s="6" t="str">
        <f>'Detailed Car List + Stats'!D341</f>
        <v>Murciélago LP 670-4 SV</v>
      </c>
      <c r="D341" s="6" t="str">
        <f>'Detailed Car List + Stats'!E341</f>
        <v>Modern Supercars</v>
      </c>
      <c r="E341" s="6" t="s">
        <v>53</v>
      </c>
      <c r="F341" s="6" t="str">
        <f>'Detailed Car List + Stats'!G341</f>
        <v>Italy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6.5" customHeight="1">
      <c r="A342" s="6" t="str">
        <f>'Detailed Car List + Stats'!B342</f>
        <v>2024</v>
      </c>
      <c r="B342" s="6" t="str">
        <f>'Detailed Car List + Stats'!C342</f>
        <v>Lamborghini</v>
      </c>
      <c r="C342" s="6" t="str">
        <f>'Detailed Car List + Stats'!D342</f>
        <v>Revuelto</v>
      </c>
      <c r="D342" s="6" t="str">
        <f>'Detailed Car List + Stats'!E342</f>
        <v>Hypercars</v>
      </c>
      <c r="E342" s="6" t="s">
        <v>138</v>
      </c>
      <c r="F342" s="6" t="str">
        <f>'Detailed Car List + Stats'!G342</f>
        <v>Italy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6.5" customHeight="1">
      <c r="A343" s="6" t="str">
        <f>'Detailed Car List + Stats'!B343</f>
        <v>2011</v>
      </c>
      <c r="B343" s="6" t="str">
        <f>'Detailed Car List + Stats'!C343</f>
        <v>Lamborghini</v>
      </c>
      <c r="C343" s="6" t="str">
        <f>'Detailed Car List + Stats'!D343</f>
        <v>Sesto Elemento</v>
      </c>
      <c r="D343" s="6" t="str">
        <f>'Detailed Car List + Stats'!E343</f>
        <v>Extreme Track Toys</v>
      </c>
      <c r="E343" s="6" t="s">
        <v>138</v>
      </c>
      <c r="F343" s="6" t="str">
        <f>'Detailed Car List + Stats'!G343</f>
        <v>Italy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6.5" customHeight="1">
      <c r="A344" s="6" t="str">
        <f>'Detailed Car List + Stats'!B344</f>
        <v>2020</v>
      </c>
      <c r="B344" s="6" t="str">
        <f>'Detailed Car List + Stats'!C344</f>
        <v>Lamborghini</v>
      </c>
      <c r="C344" s="6" t="str">
        <f>'Detailed Car List + Stats'!D344</f>
        <v>Sián Roadster</v>
      </c>
      <c r="D344" s="6" t="str">
        <f>'Detailed Car List + Stats'!E344</f>
        <v>Hypercars</v>
      </c>
      <c r="E344" s="6" t="s">
        <v>53</v>
      </c>
      <c r="F344" s="6" t="str">
        <f>'Detailed Car List + Stats'!G344</f>
        <v>Italy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6.5" customHeight="1">
      <c r="A345" s="6" t="str">
        <f>'Detailed Car List + Stats'!B345</f>
        <v>2024</v>
      </c>
      <c r="B345" s="6" t="str">
        <f>'Detailed Car List + Stats'!C345</f>
        <v>Lamborghini</v>
      </c>
      <c r="C345" s="6" t="str">
        <f>'Detailed Car List + Stats'!D345</f>
        <v>Temerario</v>
      </c>
      <c r="D345" s="6" t="str">
        <f>'Detailed Car List + Stats'!E345</f>
        <v>Hypercars</v>
      </c>
      <c r="E345" s="6" t="s">
        <v>138</v>
      </c>
      <c r="F345" s="6" t="str">
        <f>'Detailed Car List + Stats'!G345</f>
        <v>Italy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6.5" customHeight="1">
      <c r="A346" s="6" t="str">
        <f>'Detailed Car List + Stats'!B346</f>
        <v>2019</v>
      </c>
      <c r="B346" s="6" t="str">
        <f>'Detailed Car List + Stats'!C346</f>
        <v>Lamborghini</v>
      </c>
      <c r="C346" s="6" t="str">
        <f>'Detailed Car List + Stats'!D346</f>
        <v>Urus</v>
      </c>
      <c r="D346" s="6" t="str">
        <f>'Detailed Car List + Stats'!E346</f>
        <v>Sports Utility Heroes</v>
      </c>
      <c r="E346" s="6" t="s">
        <v>78</v>
      </c>
      <c r="F346" s="6" t="str">
        <f>'Detailed Car List + Stats'!G346</f>
        <v>Italy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6.5" customHeight="1">
      <c r="A347" s="6" t="str">
        <f>'Detailed Car List + Stats'!B347</f>
        <v>2013</v>
      </c>
      <c r="B347" s="6" t="str">
        <f>'Detailed Car List + Stats'!C347</f>
        <v>Lamborghini</v>
      </c>
      <c r="C347" s="6" t="str">
        <f>'Detailed Car List + Stats'!D347</f>
        <v>Veneno</v>
      </c>
      <c r="D347" s="6" t="str">
        <f>'Detailed Car List + Stats'!E347</f>
        <v>Hypercars</v>
      </c>
      <c r="E347" s="6" t="s">
        <v>138</v>
      </c>
      <c r="F347" s="6" t="str">
        <f>'Detailed Car List + Stats'!G347</f>
        <v>Italy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6.5" customHeight="1">
      <c r="A348" s="6" t="str">
        <f>'Detailed Car List + Stats'!B348</f>
        <v>1982</v>
      </c>
      <c r="B348" s="6" t="str">
        <f>'Detailed Car List + Stats'!C348</f>
        <v>Lancia</v>
      </c>
      <c r="C348" s="6" t="str">
        <f>'Detailed Car List + Stats'!D348</f>
        <v>037 Stradale</v>
      </c>
      <c r="D348" s="6" t="str">
        <f>'Detailed Car List + Stats'!E348</f>
        <v>Retro Rally</v>
      </c>
      <c r="E348" s="6" t="s">
        <v>35</v>
      </c>
      <c r="F348" s="6" t="str">
        <f>'Detailed Car List + Stats'!G348</f>
        <v>Italy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6.5" customHeight="1">
      <c r="A349" s="6" t="str">
        <f>'Detailed Car List + Stats'!B349</f>
        <v>1992</v>
      </c>
      <c r="B349" s="6" t="str">
        <f>'Detailed Car List + Stats'!C349</f>
        <v>Lancia</v>
      </c>
      <c r="C349" s="6" t="str">
        <f>'Detailed Car List + Stats'!D349</f>
        <v>Delta HF Integrale EVO</v>
      </c>
      <c r="D349" s="6" t="str">
        <f>'Detailed Car List + Stats'!E349</f>
        <v>Retro Rally</v>
      </c>
      <c r="E349" s="6" t="s">
        <v>28</v>
      </c>
      <c r="F349" s="6" t="str">
        <f>'Detailed Car List + Stats'!G349</f>
        <v>Italy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6.5" customHeight="1">
      <c r="A350" s="6" t="str">
        <f>'Detailed Car List + Stats'!B350</f>
        <v>1986</v>
      </c>
      <c r="B350" s="6" t="str">
        <f>'Detailed Car List + Stats'!C350</f>
        <v>Lancia</v>
      </c>
      <c r="C350" s="6" t="str">
        <f>'Detailed Car List + Stats'!D350</f>
        <v>Delta S4</v>
      </c>
      <c r="D350" s="6" t="str">
        <f>'Detailed Car List + Stats'!E350</f>
        <v>Retro Rally</v>
      </c>
      <c r="E350" s="6" t="s">
        <v>35</v>
      </c>
      <c r="F350" s="6" t="str">
        <f>'Detailed Car List + Stats'!G350</f>
        <v>Italy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6.5" customHeight="1">
      <c r="A351" s="6" t="str">
        <f>'Detailed Car List + Stats'!B351</f>
        <v>1974</v>
      </c>
      <c r="B351" s="6" t="str">
        <f>'Detailed Car List + Stats'!C351</f>
        <v>Lancia</v>
      </c>
      <c r="C351" s="6" t="str">
        <f>'Detailed Car List + Stats'!D351</f>
        <v>Stratos HF Stradale</v>
      </c>
      <c r="D351" s="6" t="str">
        <f>'Detailed Car List + Stats'!E351</f>
        <v>Classic Rally</v>
      </c>
      <c r="E351" s="6" t="s">
        <v>28</v>
      </c>
      <c r="F351" s="6" t="str">
        <f>'Detailed Car List + Stats'!G351</f>
        <v>Italy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6.5" customHeight="1">
      <c r="A352" s="6" t="str">
        <f>'Detailed Car List + Stats'!B352</f>
        <v>2020</v>
      </c>
      <c r="B352" s="6" t="str">
        <f>'Detailed Car List + Stats'!C352</f>
        <v>Land Rover</v>
      </c>
      <c r="C352" s="6" t="str">
        <f>'Detailed Car List + Stats'!D352</f>
        <v>Defender 110 X</v>
      </c>
      <c r="D352" s="6" t="str">
        <f>'Detailed Car List + Stats'!E352</f>
        <v>Sports Utility Heroes</v>
      </c>
      <c r="E352" s="6" t="s">
        <v>28</v>
      </c>
      <c r="F352" s="6" t="str">
        <f>'Detailed Car List + Stats'!G352</f>
        <v>UK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6.5" customHeight="1">
      <c r="A353" s="6" t="str">
        <f>'Detailed Car List + Stats'!B353</f>
        <v>2015</v>
      </c>
      <c r="B353" s="6" t="str">
        <f>'Detailed Car List + Stats'!C353</f>
        <v>Land Rover</v>
      </c>
      <c r="C353" s="6" t="str">
        <f>'Detailed Car List + Stats'!D353</f>
        <v>Range Rover Sport SVR</v>
      </c>
      <c r="D353" s="6" t="str">
        <f>'Detailed Car List + Stats'!E353</f>
        <v>Sports Utility Heroes</v>
      </c>
      <c r="E353" s="6" t="s">
        <v>78</v>
      </c>
      <c r="F353" s="6" t="str">
        <f>'Detailed Car List + Stats'!G353</f>
        <v>UK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6.5" customHeight="1">
      <c r="A354" s="6" t="str">
        <f>'Detailed Car List + Stats'!B354</f>
        <v>2021</v>
      </c>
      <c r="B354" s="6" t="str">
        <f>'Detailed Car List + Stats'!C354</f>
        <v>Lexus</v>
      </c>
      <c r="C354" s="6" t="str">
        <f>'Detailed Car List + Stats'!D354</f>
        <v>LC 500</v>
      </c>
      <c r="D354" s="6" t="str">
        <f>'Detailed Car List + Stats'!E354</f>
        <v>GT Cars</v>
      </c>
      <c r="E354" s="6" t="s">
        <v>35</v>
      </c>
      <c r="F354" s="6" t="str">
        <f>'Detailed Car List + Stats'!G354</f>
        <v>USA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6.5" customHeight="1">
      <c r="A355" s="6" t="str">
        <f>'Detailed Car List + Stats'!B355</f>
        <v>2010</v>
      </c>
      <c r="B355" s="6" t="str">
        <f>'Detailed Car List + Stats'!C355</f>
        <v>Lexus</v>
      </c>
      <c r="C355" s="6" t="str">
        <f>'Detailed Car List + Stats'!D355</f>
        <v>LFA</v>
      </c>
      <c r="D355" s="6" t="str">
        <f>'Detailed Car List + Stats'!E355</f>
        <v>Modern Supercars</v>
      </c>
      <c r="E355" s="6" t="s">
        <v>78</v>
      </c>
      <c r="F355" s="6" t="str">
        <f>'Detailed Car List + Stats'!G355</f>
        <v>USA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6.5" customHeight="1">
      <c r="A356" s="6" t="str">
        <f>'Detailed Car List + Stats'!B356</f>
        <v>2010</v>
      </c>
      <c r="B356" s="6" t="str">
        <f>'Detailed Car List + Stats'!C356</f>
        <v>Lexus</v>
      </c>
      <c r="C356" s="6" t="str">
        <f>'Detailed Car List + Stats'!D356</f>
        <v>LFA Forza Edition</v>
      </c>
      <c r="D356" s="6" t="str">
        <f>'Detailed Car List + Stats'!E356</f>
        <v>Extreme Track Toys</v>
      </c>
      <c r="E356" s="6" t="s">
        <v>138</v>
      </c>
      <c r="F356" s="6" t="str">
        <f>'Detailed Car List + Stats'!G356</f>
        <v>USA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6.5" customHeight="1">
      <c r="A357" s="6" t="str">
        <f>'Detailed Car List + Stats'!B357</f>
        <v>2015</v>
      </c>
      <c r="B357" s="6" t="str">
        <f>'Detailed Car List + Stats'!C357</f>
        <v>Lexus</v>
      </c>
      <c r="C357" s="6" t="str">
        <f>'Detailed Car List + Stats'!D357</f>
        <v>RC F</v>
      </c>
      <c r="D357" s="6" t="str">
        <f>'Detailed Car List + Stats'!E357</f>
        <v>Modern Super Saloons</v>
      </c>
      <c r="E357" s="6" t="s">
        <v>78</v>
      </c>
      <c r="F357" s="6" t="str">
        <f>'Detailed Car List + Stats'!G357</f>
        <v>USA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6.5" customHeight="1">
      <c r="A358" s="6" t="str">
        <f>'Detailed Car List + Stats'!B358</f>
        <v>1962</v>
      </c>
      <c r="B358" s="6" t="str">
        <f>'Detailed Car List + Stats'!C358</f>
        <v>Lincoln</v>
      </c>
      <c r="C358" s="6" t="str">
        <f>'Detailed Car List + Stats'!D358</f>
        <v>Continental</v>
      </c>
      <c r="D358" s="6" t="str">
        <f>'Detailed Car List + Stats'!E358</f>
        <v>Rods &amp; Customs</v>
      </c>
      <c r="E358" s="6" t="s">
        <v>31</v>
      </c>
      <c r="F358" s="6" t="str">
        <f>'Detailed Car List + Stats'!G358</f>
        <v>USA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6.5" customHeight="1">
      <c r="A359" s="6" t="str">
        <f>'Detailed Car List + Stats'!B359</f>
        <v>1997</v>
      </c>
      <c r="B359" s="6" t="str">
        <f>'Detailed Car List + Stats'!C359</f>
        <v>Lotus</v>
      </c>
      <c r="C359" s="6" t="str">
        <f>'Detailed Car List + Stats'!D359</f>
        <v>Elise GT1</v>
      </c>
      <c r="D359" s="6" t="str">
        <f>'Detailed Car List + Stats'!E359</f>
        <v>Retro Supercars</v>
      </c>
      <c r="E359" s="6" t="s">
        <v>53</v>
      </c>
      <c r="F359" s="6" t="str">
        <f>'Detailed Car List + Stats'!G359</f>
        <v>UK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6.5" customHeight="1">
      <c r="A360" s="6" t="str">
        <f>'Detailed Car List + Stats'!B360</f>
        <v>1999</v>
      </c>
      <c r="B360" s="6" t="str">
        <f>'Detailed Car List + Stats'!C360</f>
        <v>Lotus</v>
      </c>
      <c r="C360" s="6" t="str">
        <f>'Detailed Car List + Stats'!D360</f>
        <v>Elise Series 1 Sport 190</v>
      </c>
      <c r="D360" s="6" t="str">
        <f>'Detailed Car List + Stats'!E360</f>
        <v>Retro Sports Cars</v>
      </c>
      <c r="E360" s="6" t="s">
        <v>35</v>
      </c>
      <c r="F360" s="6" t="str">
        <f>'Detailed Car List + Stats'!G360</f>
        <v>UK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6.5" customHeight="1">
      <c r="A361" s="6" t="str">
        <f>'Detailed Car List + Stats'!B361</f>
        <v>2023</v>
      </c>
      <c r="B361" s="6" t="str">
        <f>'Detailed Car List + Stats'!C361</f>
        <v>Lotus</v>
      </c>
      <c r="C361" s="6" t="str">
        <f>'Detailed Car List + Stats'!D361</f>
        <v>Emira</v>
      </c>
      <c r="D361" s="6" t="str">
        <f>'Detailed Car List + Stats'!E361</f>
        <v>Modern Sports Cars</v>
      </c>
      <c r="E361" s="6" t="s">
        <v>78</v>
      </c>
      <c r="F361" s="6" t="str">
        <f>'Detailed Car List + Stats'!G361</f>
        <v>UK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6.5" customHeight="1">
      <c r="A362" s="6" t="str">
        <f>'Detailed Car List + Stats'!B362</f>
        <v>2020</v>
      </c>
      <c r="B362" s="6" t="str">
        <f>'Detailed Car List + Stats'!C362</f>
        <v>Lotus</v>
      </c>
      <c r="C362" s="6" t="str">
        <f>'Detailed Car List + Stats'!D362</f>
        <v>Evija</v>
      </c>
      <c r="D362" s="6" t="str">
        <f>'Detailed Car List + Stats'!E362</f>
        <v>Hypercars</v>
      </c>
      <c r="E362" s="6" t="s">
        <v>108</v>
      </c>
      <c r="F362" s="6" t="str">
        <f>'Detailed Car List + Stats'!G362</f>
        <v>UK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6.5" customHeight="1">
      <c r="A363" s="6" t="str">
        <f>'Detailed Car List + Stats'!B363</f>
        <v>2020</v>
      </c>
      <c r="B363" s="6" t="str">
        <f>'Detailed Car List + Stats'!C363</f>
        <v>Lotus</v>
      </c>
      <c r="C363" s="6" t="str">
        <f>'Detailed Car List + Stats'!D363</f>
        <v>Evija Forza Edition</v>
      </c>
      <c r="D363" s="6" t="str">
        <f>'Detailed Car List + Stats'!E363</f>
        <v>Drift Cars</v>
      </c>
      <c r="E363" s="6" t="s">
        <v>138</v>
      </c>
      <c r="F363" s="6" t="str">
        <f>'Detailed Car List + Stats'!G363</f>
        <v>UK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6.5" customHeight="1">
      <c r="A364" s="6" t="str">
        <f>'Detailed Car List + Stats'!B364</f>
        <v>2018</v>
      </c>
      <c r="B364" s="6" t="str">
        <f>'Detailed Car List + Stats'!C364</f>
        <v>Lotus</v>
      </c>
      <c r="C364" s="6" t="str">
        <f>'Detailed Car List + Stats'!D364</f>
        <v>Exige Cup 430</v>
      </c>
      <c r="D364" s="6" t="str">
        <f>'Detailed Car List + Stats'!E364</f>
        <v>Track Toys</v>
      </c>
      <c r="E364" s="6" t="s">
        <v>53</v>
      </c>
      <c r="F364" s="6" t="str">
        <f>'Detailed Car List + Stats'!G364</f>
        <v>UK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6.5" customHeight="1">
      <c r="A365" s="6" t="str">
        <f>'Detailed Car List + Stats'!B365</f>
        <v>2018</v>
      </c>
      <c r="B365" s="6" t="str">
        <f>'Detailed Car List + Stats'!C365</f>
        <v>Lotus</v>
      </c>
      <c r="C365" s="6" t="str">
        <f>'Detailed Car List + Stats'!D365</f>
        <v>Scura Motorsports Exige WTAC</v>
      </c>
      <c r="D365" s="6" t="str">
        <f>'Detailed Car List + Stats'!E365</f>
        <v>Extreme Track Toys</v>
      </c>
      <c r="E365" s="6" t="s">
        <v>108</v>
      </c>
      <c r="F365" s="6" t="str">
        <f>'Detailed Car List + Stats'!G365</f>
        <v>UK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6.5" customHeight="1">
      <c r="A366" s="6" t="str">
        <f>'Detailed Car List + Stats'!B366</f>
        <v>2024</v>
      </c>
      <c r="B366" s="6" t="str">
        <f>'Detailed Car List + Stats'!C366</f>
        <v>Lucid</v>
      </c>
      <c r="C366" s="6" t="str">
        <f>'Detailed Car List + Stats'!D366</f>
        <v>Air Sapphire</v>
      </c>
      <c r="D366" s="6" t="str">
        <f>'Detailed Car List + Stats'!E366</f>
        <v>Modern Super Saloons</v>
      </c>
      <c r="E366" s="6" t="s">
        <v>138</v>
      </c>
      <c r="F366" s="6" t="str">
        <f>'Detailed Car List + Stats'!G366</f>
        <v>USA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6.5" customHeight="1">
      <c r="A367" s="6" t="str">
        <f>'Detailed Car List + Stats'!B367</f>
        <v>1997</v>
      </c>
      <c r="B367" s="6" t="str">
        <f>'Detailed Car List + Stats'!C367</f>
        <v>Maserati</v>
      </c>
      <c r="C367" s="6" t="str">
        <f>'Detailed Car List + Stats'!D367</f>
        <v>Ghibli Cup</v>
      </c>
      <c r="D367" s="6" t="str">
        <f>'Detailed Car List + Stats'!E367</f>
        <v>Retro Sports Cars</v>
      </c>
      <c r="E367" s="6" t="s">
        <v>35</v>
      </c>
      <c r="F367" s="6" t="str">
        <f>'Detailed Car List + Stats'!G367</f>
        <v>Italy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6.5" customHeight="1">
      <c r="A368" s="6" t="str">
        <f>'Detailed Car List + Stats'!B368</f>
        <v>2004</v>
      </c>
      <c r="B368" s="6" t="str">
        <f>'Detailed Car List + Stats'!C368</f>
        <v>Maserati</v>
      </c>
      <c r="C368" s="6" t="str">
        <f>'Detailed Car List + Stats'!D368</f>
        <v>MC12</v>
      </c>
      <c r="D368" s="6" t="str">
        <f>'Detailed Car List + Stats'!E368</f>
        <v>Retro Supercars</v>
      </c>
      <c r="E368" s="6" t="s">
        <v>53</v>
      </c>
      <c r="F368" s="6" t="str">
        <f>'Detailed Car List + Stats'!G368</f>
        <v>Italy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6.5" customHeight="1">
      <c r="A369" s="6" t="str">
        <f>'Detailed Car List + Stats'!B369</f>
        <v>2008</v>
      </c>
      <c r="B369" s="6" t="str">
        <f>'Detailed Car List + Stats'!C369</f>
        <v>Maserati</v>
      </c>
      <c r="C369" s="6" t="str">
        <f>'Detailed Car List + Stats'!D369</f>
        <v>MC12 Versione Corsa</v>
      </c>
      <c r="D369" s="6" t="str">
        <f>'Detailed Car List + Stats'!E369</f>
        <v>Extreme Track Toys</v>
      </c>
      <c r="E369" s="6" t="s">
        <v>108</v>
      </c>
      <c r="F369" s="6" t="str">
        <f>'Detailed Car List + Stats'!G369</f>
        <v>Italy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6.5" customHeight="1">
      <c r="A370" s="6" t="str">
        <f>'Detailed Car List + Stats'!B370</f>
        <v>2022</v>
      </c>
      <c r="B370" s="6" t="str">
        <f>'Detailed Car List + Stats'!C370</f>
        <v>Maserati</v>
      </c>
      <c r="C370" s="6" t="str">
        <f>'Detailed Car List + Stats'!D370</f>
        <v>MC20</v>
      </c>
      <c r="D370" s="6" t="str">
        <f>'Detailed Car List + Stats'!E370</f>
        <v>Modern Supercars</v>
      </c>
      <c r="E370" s="6" t="s">
        <v>53</v>
      </c>
      <c r="F370" s="6" t="str">
        <f>'Detailed Car List + Stats'!G370</f>
        <v>Italy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6.5" customHeight="1">
      <c r="A371" s="6" t="str">
        <f>'Detailed Car List + Stats'!B371</f>
        <v>1974</v>
      </c>
      <c r="B371" s="6" t="str">
        <f>'Detailed Car List + Stats'!C371</f>
        <v>Mazda</v>
      </c>
      <c r="C371" s="6" t="str">
        <f>'Detailed Car List + Stats'!D371</f>
        <v>#123 Mad Mike 808 Wagon 'FURSTY'</v>
      </c>
      <c r="D371" s="6" t="str">
        <f>'Detailed Car List + Stats'!E371</f>
        <v>Drift Cars</v>
      </c>
      <c r="E371" s="6" t="s">
        <v>53</v>
      </c>
      <c r="F371" s="6" t="str">
        <f>'Detailed Car List + Stats'!G371</f>
        <v>Japan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6.5" customHeight="1">
      <c r="A372" s="6" t="str">
        <f>'Detailed Car List + Stats'!B372</f>
        <v>1991</v>
      </c>
      <c r="B372" s="6" t="str">
        <f>'Detailed Car List + Stats'!C372</f>
        <v>Mazda</v>
      </c>
      <c r="C372" s="6" t="str">
        <f>'Detailed Car List + Stats'!D372</f>
        <v>#55 Mazda 787B</v>
      </c>
      <c r="D372" s="6" t="str">
        <f>'Detailed Car List + Stats'!E372</f>
        <v>Retro Racers</v>
      </c>
      <c r="E372" s="6" t="s">
        <v>108</v>
      </c>
      <c r="F372" s="6" t="str">
        <f>'Detailed Car List + Stats'!G372</f>
        <v>Japan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6.5" customHeight="1">
      <c r="A373" s="6" t="str">
        <f>'Detailed Car List + Stats'!B373</f>
        <v>1972</v>
      </c>
      <c r="B373" s="6" t="str">
        <f>'Detailed Car List + Stats'!C373</f>
        <v>Mazda</v>
      </c>
      <c r="C373" s="6" t="str">
        <f>'Detailed Car List + Stats'!D373</f>
        <v>Cosmo 110S Series II</v>
      </c>
      <c r="D373" s="6" t="str">
        <f>'Detailed Car List + Stats'!E373</f>
        <v>Classic Sports Cars</v>
      </c>
      <c r="E373" s="6" t="s">
        <v>31</v>
      </c>
      <c r="F373" s="6" t="str">
        <f>'Detailed Car List + Stats'!G373</f>
        <v>Japan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6.5" customHeight="1">
      <c r="A374" s="6" t="str">
        <f>'Detailed Car List + Stats'!B374</f>
        <v>2008</v>
      </c>
      <c r="B374" s="6" t="str">
        <f>'Detailed Car List + Stats'!C374</f>
        <v>Mazda</v>
      </c>
      <c r="C374" s="6" t="str">
        <f>'Detailed Car List + Stats'!D374</f>
        <v>Furai</v>
      </c>
      <c r="D374" s="6" t="str">
        <f>'Detailed Car List + Stats'!E374</f>
        <v>Extreme Track Toys</v>
      </c>
      <c r="E374" s="6" t="s">
        <v>108</v>
      </c>
      <c r="F374" s="6" t="str">
        <f>'Detailed Car List + Stats'!G374</f>
        <v>Japan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6.5" customHeight="1">
      <c r="A375" s="6" t="str">
        <f>'Detailed Car List + Stats'!B375</f>
        <v>2010</v>
      </c>
      <c r="B375" s="6" t="str">
        <f>'Detailed Car List + Stats'!C375</f>
        <v>Mazda</v>
      </c>
      <c r="C375" s="6" t="str">
        <f>'Detailed Car List + Stats'!D375</f>
        <v>Mazdaspeed 3</v>
      </c>
      <c r="D375" s="6" t="str">
        <f>'Detailed Car List + Stats'!E375</f>
        <v>Modern Sports Cars</v>
      </c>
      <c r="E375" s="6" t="s">
        <v>28</v>
      </c>
      <c r="F375" s="6" t="str">
        <f>'Detailed Car List + Stats'!G375</f>
        <v>Japan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6.5" customHeight="1">
      <c r="A376" s="6" t="str">
        <f>'Detailed Car List + Stats'!B376</f>
        <v>2005</v>
      </c>
      <c r="B376" s="6" t="str">
        <f>'Detailed Car List + Stats'!C376</f>
        <v>Mazda</v>
      </c>
      <c r="C376" s="6" t="str">
        <f>'Detailed Car List + Stats'!D376</f>
        <v>Mazdaspeed MX-5</v>
      </c>
      <c r="D376" s="6" t="str">
        <f>'Detailed Car List + Stats'!E376</f>
        <v>Modern Sports Cars</v>
      </c>
      <c r="E376" s="6" t="s">
        <v>28</v>
      </c>
      <c r="F376" s="6" t="str">
        <f>'Detailed Car List + Stats'!G376</f>
        <v>Japan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6.5" customHeight="1">
      <c r="A377" s="6" t="str">
        <f>'Detailed Car List + Stats'!B377</f>
        <v>2013</v>
      </c>
      <c r="B377" s="6" t="str">
        <f>'Detailed Car List + Stats'!C377</f>
        <v>Mazda</v>
      </c>
      <c r="C377" s="6" t="str">
        <f>'Detailed Car List + Stats'!D377</f>
        <v>MX-5</v>
      </c>
      <c r="D377" s="6" t="str">
        <f>'Detailed Car List + Stats'!E377</f>
        <v>Track Toys</v>
      </c>
      <c r="E377" s="6" t="s">
        <v>35</v>
      </c>
      <c r="F377" s="6" t="str">
        <f>'Detailed Car List + Stats'!G377</f>
        <v>Japan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6.5" customHeight="1">
      <c r="A378" s="6" t="str">
        <f>'Detailed Car List + Stats'!B378</f>
        <v>2016</v>
      </c>
      <c r="B378" s="6" t="str">
        <f>'Detailed Car List + Stats'!C378</f>
        <v>Mazda</v>
      </c>
      <c r="C378" s="6" t="str">
        <f>'Detailed Car List + Stats'!D378</f>
        <v>MX-5</v>
      </c>
      <c r="D378" s="6" t="str">
        <f>'Detailed Car List + Stats'!E378</f>
        <v>Retro Sports Cars</v>
      </c>
      <c r="E378" s="6" t="s">
        <v>31</v>
      </c>
      <c r="F378" s="6" t="str">
        <f>'Detailed Car List + Stats'!G378</f>
        <v>Japan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6.5" customHeight="1">
      <c r="A379" s="6" t="str">
        <f>'Detailed Car List + Stats'!B379</f>
        <v>2017</v>
      </c>
      <c r="B379" s="6" t="str">
        <f>'Detailed Car List + Stats'!C379</f>
        <v>Mazda</v>
      </c>
      <c r="C379" s="6" t="str">
        <f>'Detailed Car List + Stats'!D379</f>
        <v>MX-5 Cup</v>
      </c>
      <c r="D379" s="6" t="str">
        <f>'Detailed Car List + Stats'!E379</f>
        <v>Retro Sports Cars</v>
      </c>
      <c r="E379" s="6" t="s">
        <v>138</v>
      </c>
      <c r="F379" s="6" t="str">
        <f>'Detailed Car List + Stats'!G379</f>
        <v>Japan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6.5" customHeight="1">
      <c r="A380" s="6" t="str">
        <f>'Detailed Car List + Stats'!B380</f>
        <v>1994</v>
      </c>
      <c r="B380" s="6" t="str">
        <f>'Detailed Car List + Stats'!C380</f>
        <v>Mazda</v>
      </c>
      <c r="C380" s="6" t="str">
        <f>'Detailed Car List + Stats'!D380</f>
        <v>MX-5 Miata</v>
      </c>
      <c r="D380" s="6" t="str">
        <f>'Detailed Car List + Stats'!E380</f>
        <v>Modern Sports Cars</v>
      </c>
      <c r="E380" s="6" t="s">
        <v>35</v>
      </c>
      <c r="F380" s="6" t="str">
        <f>'Detailed Car List + Stats'!G380</f>
        <v>Japan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6.5" customHeight="1">
      <c r="A381" s="6" t="str">
        <f>'Detailed Car List + Stats'!B381</f>
        <v>1994</v>
      </c>
      <c r="B381" s="6" t="str">
        <f>'Detailed Car List + Stats'!C381</f>
        <v>Mazda</v>
      </c>
      <c r="C381" s="6" t="str">
        <f>'Detailed Car List + Stats'!D381</f>
        <v>MX-5 Miata Forza Edition</v>
      </c>
      <c r="D381" s="6" t="str">
        <f>'Detailed Car List + Stats'!E381</f>
        <v>Classic Sports Cars</v>
      </c>
      <c r="E381" s="6" t="s">
        <v>31</v>
      </c>
      <c r="F381" s="6" t="str">
        <f>'Detailed Car List + Stats'!G381</f>
        <v>Japan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6.5" customHeight="1">
      <c r="A382" s="6" t="str">
        <f>'Detailed Car List + Stats'!B382</f>
        <v>2022</v>
      </c>
      <c r="B382" s="6" t="str">
        <f>'Detailed Car List + Stats'!C382</f>
        <v>Mazda</v>
      </c>
      <c r="C382" s="6" t="str">
        <f>'Detailed Car List + Stats'!D382</f>
        <v>MX-5 Miata RF</v>
      </c>
      <c r="D382" s="6" t="str">
        <f>'Detailed Car List + Stats'!E382</f>
        <v>Classic Sports Cars</v>
      </c>
      <c r="E382" s="6" t="s">
        <v>35</v>
      </c>
      <c r="F382" s="6" t="str">
        <f>'Detailed Car List + Stats'!G382</f>
        <v>Japan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6.5" customHeight="1">
      <c r="A383" s="6" t="str">
        <f>'Detailed Car List + Stats'!B383</f>
        <v>1973</v>
      </c>
      <c r="B383" s="6" t="str">
        <f>'Detailed Car List + Stats'!C383</f>
        <v>Mazda</v>
      </c>
      <c r="C383" s="6" t="str">
        <f>'Detailed Car List + Stats'!D383</f>
        <v>RX-3</v>
      </c>
      <c r="D383" s="6" t="str">
        <f>'Detailed Car List + Stats'!E383</f>
        <v>Retro Sports Cars</v>
      </c>
      <c r="E383" s="6" t="s">
        <v>31</v>
      </c>
      <c r="F383" s="6" t="str">
        <f>'Detailed Car List + Stats'!G383</f>
        <v>Japan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6.5" customHeight="1">
      <c r="A384" s="6" t="str">
        <f>'Detailed Car List + Stats'!B384</f>
        <v>1973</v>
      </c>
      <c r="B384" s="6" t="str">
        <f>'Detailed Car List + Stats'!C384</f>
        <v>Mazda</v>
      </c>
      <c r="C384" s="6" t="str">
        <f>'Detailed Car List + Stats'!D384</f>
        <v>RX-3 Forza Edition</v>
      </c>
      <c r="D384" s="6" t="str">
        <f>'Detailed Car List + Stats'!E384</f>
        <v>Retro Sports Cars</v>
      </c>
      <c r="E384" s="6" t="s">
        <v>35</v>
      </c>
      <c r="F384" s="6" t="str">
        <f>'Detailed Car List + Stats'!G384</f>
        <v>Japan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6.5" customHeight="1">
      <c r="A385" s="6" t="str">
        <f>'Detailed Car List + Stats'!B385</f>
        <v>1985</v>
      </c>
      <c r="B385" s="6" t="str">
        <f>'Detailed Car List + Stats'!C385</f>
        <v>Mazda</v>
      </c>
      <c r="C385" s="6" t="str">
        <f>'Detailed Car List + Stats'!D385</f>
        <v>RX-7 GSL-SE</v>
      </c>
      <c r="D385" s="6" t="str">
        <f>'Detailed Car List + Stats'!E385</f>
        <v>Modern Sports Cars</v>
      </c>
      <c r="E385" s="6" t="s">
        <v>35</v>
      </c>
      <c r="F385" s="6" t="str">
        <f>'Detailed Car List + Stats'!G385</f>
        <v>Japan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6.5" customHeight="1">
      <c r="A386" s="6" t="str">
        <f>'Detailed Car List + Stats'!B386</f>
        <v>1992</v>
      </c>
      <c r="B386" s="6" t="str">
        <f>'Detailed Car List + Stats'!C386</f>
        <v>Mazda</v>
      </c>
      <c r="C386" s="6" t="str">
        <f>'Detailed Car List + Stats'!D386</f>
        <v>RX-7 Type R</v>
      </c>
      <c r="D386" s="6" t="str">
        <f>'Detailed Car List + Stats'!E386</f>
        <v>Retro Sports Cars</v>
      </c>
      <c r="E386" s="6" t="s">
        <v>28</v>
      </c>
      <c r="F386" s="6" t="str">
        <f>'Detailed Car List + Stats'!G386</f>
        <v>Japan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6.5" customHeight="1">
      <c r="A387" s="6" t="str">
        <f>'Detailed Car List + Stats'!B387</f>
        <v>2011</v>
      </c>
      <c r="B387" s="6" t="str">
        <f>'Detailed Car List + Stats'!C387</f>
        <v>Mazda</v>
      </c>
      <c r="C387" s="6" t="str">
        <f>'Detailed Car List + Stats'!D387</f>
        <v>RX-8 R3</v>
      </c>
      <c r="D387" s="6" t="str">
        <f>'Detailed Car List + Stats'!E387</f>
        <v>Hot Hatch</v>
      </c>
      <c r="E387" s="6" t="s">
        <v>35</v>
      </c>
      <c r="F387" s="6" t="str">
        <f>'Detailed Car List + Stats'!G387</f>
        <v>Japan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6.5" customHeight="1">
      <c r="A388" s="6" t="str">
        <f>'Detailed Car List + Stats'!B388</f>
        <v>1990</v>
      </c>
      <c r="B388" s="6" t="str">
        <f>'Detailed Car List + Stats'!C388</f>
        <v>Mazda</v>
      </c>
      <c r="C388" s="6" t="str">
        <f>'Detailed Car List + Stats'!D388</f>
        <v>Savanna RX-7</v>
      </c>
      <c r="D388" s="6" t="str">
        <f>'Detailed Car List + Stats'!E388</f>
        <v>Retro Sports Cars</v>
      </c>
      <c r="E388" s="6" t="s">
        <v>28</v>
      </c>
      <c r="F388" s="6" t="str">
        <f>'Detailed Car List + Stats'!G388</f>
        <v>Japan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6.5" customHeight="1">
      <c r="A389" s="6" t="str">
        <f>'Detailed Car List + Stats'!B389</f>
        <v>2011</v>
      </c>
      <c r="B389" s="6" t="str">
        <f>'Detailed Car List + Stats'!C389</f>
        <v>McLaren</v>
      </c>
      <c r="C389" s="6" t="str">
        <f>'Detailed Car List + Stats'!D389</f>
        <v>12C Coupé</v>
      </c>
      <c r="D389" s="6" t="str">
        <f>'Detailed Car List + Stats'!E389</f>
        <v>Modern Supercars</v>
      </c>
      <c r="E389" s="6" t="s">
        <v>53</v>
      </c>
      <c r="F389" s="6" t="str">
        <f>'Detailed Car List + Stats'!G389</f>
        <v>UK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6.5" customHeight="1">
      <c r="A390" s="6" t="str">
        <f>'Detailed Car List + Stats'!B390</f>
        <v>2015</v>
      </c>
      <c r="B390" s="6" t="str">
        <f>'Detailed Car List + Stats'!C390</f>
        <v>McLaren</v>
      </c>
      <c r="C390" s="6" t="str">
        <f>'Detailed Car List + Stats'!D390</f>
        <v>570S Coupé</v>
      </c>
      <c r="D390" s="6" t="str">
        <f>'Detailed Car List + Stats'!E390</f>
        <v>Modern Supercars</v>
      </c>
      <c r="E390" s="6" t="s">
        <v>53</v>
      </c>
      <c r="F390" s="6" t="str">
        <f>'Detailed Car List + Stats'!G390</f>
        <v>UK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6.5" customHeight="1">
      <c r="A391" s="6" t="str">
        <f>'Detailed Car List + Stats'!B391</f>
        <v>2018</v>
      </c>
      <c r="B391" s="6" t="str">
        <f>'Detailed Car List + Stats'!C391</f>
        <v>McLaren</v>
      </c>
      <c r="C391" s="6" t="str">
        <f>'Detailed Car List + Stats'!D391</f>
        <v>600LT Coupé</v>
      </c>
      <c r="D391" s="6" t="str">
        <f>'Detailed Car List + Stats'!E391</f>
        <v>Track Toys</v>
      </c>
      <c r="E391" s="6" t="s">
        <v>53</v>
      </c>
      <c r="F391" s="6" t="str">
        <f>'Detailed Car List + Stats'!G391</f>
        <v>UK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6.5" customHeight="1">
      <c r="A392" s="6" t="str">
        <f>'Detailed Car List + Stats'!B392</f>
        <v>2021</v>
      </c>
      <c r="B392" s="6" t="str">
        <f>'Detailed Car List + Stats'!C392</f>
        <v>McLaren</v>
      </c>
      <c r="C392" s="6" t="str">
        <f>'Detailed Car List + Stats'!D392</f>
        <v>620R</v>
      </c>
      <c r="D392" s="6" t="str">
        <f>'Detailed Car List + Stats'!E392</f>
        <v>Track Toys</v>
      </c>
      <c r="E392" s="6" t="s">
        <v>53</v>
      </c>
      <c r="F392" s="6" t="str">
        <f>'Detailed Car List + Stats'!G392</f>
        <v>UK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6.5" customHeight="1">
      <c r="A393" s="6" t="str">
        <f>'Detailed Car List + Stats'!B393</f>
        <v>2014</v>
      </c>
      <c r="B393" s="6" t="str">
        <f>'Detailed Car List + Stats'!C393</f>
        <v>McLaren</v>
      </c>
      <c r="C393" s="6" t="str">
        <f>'Detailed Car List + Stats'!D393</f>
        <v>650S Spider</v>
      </c>
      <c r="D393" s="6" t="str">
        <f>'Detailed Car List + Stats'!E393</f>
        <v>Modern Supercars</v>
      </c>
      <c r="E393" s="6" t="s">
        <v>53</v>
      </c>
      <c r="F393" s="6" t="str">
        <f>'Detailed Car List + Stats'!G393</f>
        <v>UK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6.5" customHeight="1">
      <c r="A394" s="6" t="str">
        <f>'Detailed Car List + Stats'!B394</f>
        <v>2021</v>
      </c>
      <c r="B394" s="6" t="str">
        <f>'Detailed Car List + Stats'!C394</f>
        <v>McLaren</v>
      </c>
      <c r="C394" s="6" t="str">
        <f>'Detailed Car List + Stats'!D394</f>
        <v>765LT Coupé</v>
      </c>
      <c r="D394" s="6" t="str">
        <f>'Detailed Car List + Stats'!E394</f>
        <v>Track Toys</v>
      </c>
      <c r="E394" s="6" t="s">
        <v>138</v>
      </c>
      <c r="F394" s="6" t="str">
        <f>'Detailed Car List + Stats'!G394</f>
        <v>UK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6.5" customHeight="1">
      <c r="A395" s="6" t="str">
        <f>'Detailed Car List + Stats'!B395</f>
        <v>2023</v>
      </c>
      <c r="B395" s="6" t="str">
        <f>'Detailed Car List + Stats'!C395</f>
        <v>McLaren</v>
      </c>
      <c r="C395" s="6" t="str">
        <f>'Detailed Car List + Stats'!D395</f>
        <v>Artura</v>
      </c>
      <c r="D395" s="6" t="str">
        <f>'Detailed Car List + Stats'!E395</f>
        <v>Modern Supercars</v>
      </c>
      <c r="E395" s="6" t="s">
        <v>53</v>
      </c>
      <c r="F395" s="6" t="str">
        <f>'Detailed Car List + Stats'!G395</f>
        <v>UK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6.5" customHeight="1">
      <c r="A396" s="6" t="str">
        <f>'Detailed Car List + Stats'!B396</f>
        <v>1993</v>
      </c>
      <c r="B396" s="6" t="str">
        <f>'Detailed Car List + Stats'!C396</f>
        <v>McLaren</v>
      </c>
      <c r="C396" s="6" t="str">
        <f>'Detailed Car List + Stats'!D396</f>
        <v>F1</v>
      </c>
      <c r="D396" s="6" t="str">
        <f>'Detailed Car List + Stats'!E396</f>
        <v>Retro Supercars</v>
      </c>
      <c r="E396" s="6" t="s">
        <v>53</v>
      </c>
      <c r="F396" s="6" t="str">
        <f>'Detailed Car List + Stats'!G396</f>
        <v>UK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6.5" customHeight="1">
      <c r="A397" s="6" t="str">
        <f>'Detailed Car List + Stats'!B397</f>
        <v>1997</v>
      </c>
      <c r="B397" s="6" t="str">
        <f>'Detailed Car List + Stats'!C397</f>
        <v>McLaren</v>
      </c>
      <c r="C397" s="6" t="str">
        <f>'Detailed Car List + Stats'!D397</f>
        <v>F1 GT</v>
      </c>
      <c r="D397" s="6" t="str">
        <f>'Detailed Car List + Stats'!E397</f>
        <v>Retro Supercars</v>
      </c>
      <c r="E397" s="6" t="s">
        <v>53</v>
      </c>
      <c r="F397" s="6" t="str">
        <f>'Detailed Car List + Stats'!G397</f>
        <v>UK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6.5" customHeight="1">
      <c r="A398" s="6" t="str">
        <f>'Detailed Car List + Stats'!B398</f>
        <v>2013</v>
      </c>
      <c r="B398" s="6" t="str">
        <f>'Detailed Car List + Stats'!C398</f>
        <v>McLaren</v>
      </c>
      <c r="C398" s="6" t="str">
        <f>'Detailed Car List + Stats'!D398</f>
        <v>P1</v>
      </c>
      <c r="D398" s="6" t="str">
        <f>'Detailed Car List + Stats'!E398</f>
        <v>Hypercars</v>
      </c>
      <c r="E398" s="6" t="s">
        <v>138</v>
      </c>
      <c r="F398" s="6" t="str">
        <f>'Detailed Car List + Stats'!G398</f>
        <v>UK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6.5" customHeight="1">
      <c r="A399" s="6" t="str">
        <f>'Detailed Car List + Stats'!B399</f>
        <v>2021</v>
      </c>
      <c r="B399" s="6" t="str">
        <f>'Detailed Car List + Stats'!C399</f>
        <v>McLaren</v>
      </c>
      <c r="C399" s="6" t="str">
        <f>'Detailed Car List + Stats'!D399</f>
        <v>Sabre</v>
      </c>
      <c r="D399" s="6" t="str">
        <f>'Detailed Car List + Stats'!E399</f>
        <v>Hypercars</v>
      </c>
      <c r="E399" s="6" t="s">
        <v>53</v>
      </c>
      <c r="F399" s="6" t="str">
        <f>'Detailed Car List + Stats'!G399</f>
        <v>UK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6.5" customHeight="1">
      <c r="A400" s="6" t="str">
        <f>'Detailed Car List + Stats'!B400</f>
        <v>2019</v>
      </c>
      <c r="B400" s="6" t="str">
        <f>'Detailed Car List + Stats'!C400</f>
        <v>McLaren</v>
      </c>
      <c r="C400" s="6" t="str">
        <f>'Detailed Car List + Stats'!D400</f>
        <v>Speedtail</v>
      </c>
      <c r="D400" s="6" t="str">
        <f>'Detailed Car List + Stats'!E400</f>
        <v>Hypercars</v>
      </c>
      <c r="E400" s="6" t="s">
        <v>138</v>
      </c>
      <c r="F400" s="6" t="str">
        <f>'Detailed Car List + Stats'!G400</f>
        <v>UK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6.5" customHeight="1">
      <c r="A401" s="6" t="str">
        <f>'Detailed Car List + Stats'!B401</f>
        <v>2016</v>
      </c>
      <c r="B401" s="6" t="str">
        <f>'Detailed Car List + Stats'!C401</f>
        <v>Mercedes-AMG</v>
      </c>
      <c r="C401" s="6" t="str">
        <f>'Detailed Car List + Stats'!D401</f>
        <v>C 63 S Coupé</v>
      </c>
      <c r="D401" s="6" t="str">
        <f>'Detailed Car List + Stats'!E401</f>
        <v>Modern Super Saloons</v>
      </c>
      <c r="E401" s="6" t="s">
        <v>78</v>
      </c>
      <c r="F401" s="6" t="str">
        <f>'Detailed Car List + Stats'!G401</f>
        <v>Germany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6.5" customHeight="1">
      <c r="A402" s="6" t="str">
        <f>'Detailed Car List + Stats'!B402</f>
        <v>2018</v>
      </c>
      <c r="B402" s="6" t="str">
        <f>'Detailed Car List + Stats'!C402</f>
        <v>Mercedes-AMG</v>
      </c>
      <c r="C402" s="6" t="str">
        <f>'Detailed Car List + Stats'!D402</f>
        <v>E 63 S</v>
      </c>
      <c r="D402" s="6" t="str">
        <f>'Detailed Car List + Stats'!E402</f>
        <v>Modern Super Saloons</v>
      </c>
      <c r="E402" s="6" t="s">
        <v>78</v>
      </c>
      <c r="F402" s="6" t="str">
        <f>'Detailed Car List + Stats'!G402</f>
        <v>Germany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6.5" customHeight="1">
      <c r="A403" s="6" t="str">
        <f>'Detailed Car List + Stats'!B403</f>
        <v>2018</v>
      </c>
      <c r="B403" s="6" t="str">
        <f>'Detailed Car List + Stats'!C403</f>
        <v>Mercedes-AMG</v>
      </c>
      <c r="C403" s="6" t="str">
        <f>'Detailed Car List + Stats'!D403</f>
        <v>GT 4-Door Coupé</v>
      </c>
      <c r="D403" s="6" t="str">
        <f>'Detailed Car List + Stats'!E403</f>
        <v>Modern Super Saloons</v>
      </c>
      <c r="E403" s="6" t="s">
        <v>78</v>
      </c>
      <c r="F403" s="6" t="str">
        <f>'Detailed Car List + Stats'!G403</f>
        <v>Germany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6.5" customHeight="1">
      <c r="A404" s="6" t="str">
        <f>'Detailed Car List + Stats'!B404</f>
        <v>2020</v>
      </c>
      <c r="B404" s="6" t="str">
        <f>'Detailed Car List + Stats'!C404</f>
        <v>Mercedes-AMG</v>
      </c>
      <c r="C404" s="6" t="str">
        <f>'Detailed Car List + Stats'!D404</f>
        <v>GT Black Series</v>
      </c>
      <c r="D404" s="6" t="str">
        <f>'Detailed Car List + Stats'!E404</f>
        <v>Track Toys</v>
      </c>
      <c r="E404" s="6" t="s">
        <v>53</v>
      </c>
      <c r="F404" s="6" t="str">
        <f>'Detailed Car List + Stats'!G404</f>
        <v>Germany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6.5" customHeight="1">
      <c r="A405" s="6" t="str">
        <f>'Detailed Car List + Stats'!B405</f>
        <v>2020</v>
      </c>
      <c r="B405" s="6" t="str">
        <f>'Detailed Car List + Stats'!C405</f>
        <v>Mercedes-AMG</v>
      </c>
      <c r="C405" s="6" t="str">
        <f>'Detailed Car List + Stats'!D405</f>
        <v>GT Black Series Welcome Pack</v>
      </c>
      <c r="D405" s="6" t="str">
        <f>'Detailed Car List + Stats'!E405</f>
        <v>Track Toys</v>
      </c>
      <c r="E405" s="6" t="s">
        <v>138</v>
      </c>
      <c r="F405" s="6" t="str">
        <f>'Detailed Car List + Stats'!G405</f>
        <v>Germany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6.5" customHeight="1">
      <c r="A406" s="6" t="str">
        <f>'Detailed Car List + Stats'!B406</f>
        <v>2017</v>
      </c>
      <c r="B406" s="6" t="str">
        <f>'Detailed Car List + Stats'!C406</f>
        <v>Mercedes-AMG</v>
      </c>
      <c r="C406" s="6" t="str">
        <f>'Detailed Car List + Stats'!D406</f>
        <v>GT R</v>
      </c>
      <c r="D406" s="6" t="str">
        <f>'Detailed Car List + Stats'!E406</f>
        <v>Super GT</v>
      </c>
      <c r="E406" s="6" t="s">
        <v>53</v>
      </c>
      <c r="F406" s="6" t="str">
        <f>'Detailed Car List + Stats'!G406</f>
        <v>Germany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6.5" customHeight="1">
      <c r="A407" s="6" t="str">
        <f>'Detailed Car List + Stats'!B407</f>
        <v>2015</v>
      </c>
      <c r="B407" s="6" t="str">
        <f>'Detailed Car List + Stats'!C407</f>
        <v>Mercedes-AMG</v>
      </c>
      <c r="C407" s="6" t="str">
        <f>'Detailed Car List + Stats'!D407</f>
        <v>GT S</v>
      </c>
      <c r="D407" s="6" t="str">
        <f>'Detailed Car List + Stats'!E407</f>
        <v>Super GT</v>
      </c>
      <c r="E407" s="6" t="s">
        <v>78</v>
      </c>
      <c r="F407" s="6" t="str">
        <f>'Detailed Car List + Stats'!G407</f>
        <v>Germany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6.5" customHeight="1">
      <c r="A408" s="6" t="str">
        <f>'Detailed Car List + Stats'!B408</f>
        <v>2021</v>
      </c>
      <c r="B408" s="6" t="str">
        <f>'Detailed Car List + Stats'!C408</f>
        <v>Mercedes-AMG</v>
      </c>
      <c r="C408" s="6" t="str">
        <f>'Detailed Car List + Stats'!D408</f>
        <v>ONE</v>
      </c>
      <c r="D408" s="6" t="str">
        <f>'Detailed Car List + Stats'!E408</f>
        <v>Hypercars</v>
      </c>
      <c r="E408" s="6" t="s">
        <v>138</v>
      </c>
      <c r="F408" s="6" t="str">
        <f>'Detailed Car List + Stats'!G408</f>
        <v>Germany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6.5" customHeight="1">
      <c r="A409" s="6" t="str">
        <f>'Detailed Car List + Stats'!B409</f>
        <v>2021</v>
      </c>
      <c r="B409" s="6" t="str">
        <f>'Detailed Car List + Stats'!C409</f>
        <v>Mercedes-AMG</v>
      </c>
      <c r="C409" s="6" t="str">
        <f>'Detailed Car List + Stats'!D409</f>
        <v>SL 63</v>
      </c>
      <c r="D409" s="6" t="str">
        <f>'Detailed Car List + Stats'!E409</f>
        <v>GT Cars</v>
      </c>
      <c r="E409" s="6" t="s">
        <v>78</v>
      </c>
      <c r="F409" s="6" t="str">
        <f>'Detailed Car List + Stats'!G409</f>
        <v>Germany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6.5" customHeight="1">
      <c r="A410" s="6" t="str">
        <f>'Detailed Car List + Stats'!B410</f>
        <v>2020</v>
      </c>
      <c r="B410" s="6" t="str">
        <f>'Detailed Car List + Stats'!C410</f>
        <v>Mercedes-AMG</v>
      </c>
      <c r="C410" s="6" t="str">
        <f>'Detailed Car List + Stats'!D410</f>
        <v>SLC 43 Final Edition</v>
      </c>
      <c r="D410" s="6" t="str">
        <f>'Detailed Car List + Stats'!E410</f>
        <v>Modern Sports Cars</v>
      </c>
      <c r="E410" s="6" t="s">
        <v>78</v>
      </c>
      <c r="F410" s="6" t="str">
        <f>'Detailed Car List + Stats'!G410</f>
        <v>Germany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6.5" customHeight="1">
      <c r="A411" s="6" t="str">
        <f>'Detailed Car List + Stats'!B411</f>
        <v>1990</v>
      </c>
      <c r="B411" s="6" t="str">
        <f>'Detailed Car List + Stats'!C411</f>
        <v>Mercedes-Benz</v>
      </c>
      <c r="C411" s="6" t="str">
        <f>'Detailed Car List + Stats'!D411</f>
        <v>190 E 2.5-16 Evolution II</v>
      </c>
      <c r="D411" s="6" t="str">
        <f>'Detailed Car List + Stats'!E411</f>
        <v>Retro Super Saloons</v>
      </c>
      <c r="E411" s="6" t="s">
        <v>28</v>
      </c>
      <c r="F411" s="6" t="str">
        <f>'Detailed Car List + Stats'!G411</f>
        <v>Germany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6.5" customHeight="1">
      <c r="A412" s="6" t="str">
        <f>'Detailed Car List + Stats'!B412</f>
        <v>1990</v>
      </c>
      <c r="B412" s="6" t="str">
        <f>'Detailed Car List + Stats'!C412</f>
        <v>Mercedes-Benz</v>
      </c>
      <c r="C412" s="6" t="str">
        <f>'Detailed Car List + Stats'!D412</f>
        <v>190 E 2.5-16 Evolution II Forza Edition</v>
      </c>
      <c r="D412" s="6" t="str">
        <f>'Detailed Car List + Stats'!E412</f>
        <v>Track Toys</v>
      </c>
      <c r="E412" s="6" t="s">
        <v>78</v>
      </c>
      <c r="F412" s="6" t="str">
        <f>'Detailed Car List + Stats'!G412</f>
        <v>Germany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6.5" customHeight="1">
      <c r="A413" s="6" t="str">
        <f>'Detailed Car List + Stats'!B413</f>
        <v>1954</v>
      </c>
      <c r="B413" s="6" t="str">
        <f>'Detailed Car List + Stats'!C413</f>
        <v>Mercedes-Benz</v>
      </c>
      <c r="C413" s="6" t="str">
        <f>'Detailed Car List + Stats'!D413</f>
        <v>300 SL Coupé</v>
      </c>
      <c r="D413" s="6" t="str">
        <f>'Detailed Car List + Stats'!E413</f>
        <v>Rare Classics</v>
      </c>
      <c r="E413" s="6" t="s">
        <v>31</v>
      </c>
      <c r="F413" s="6" t="str">
        <f>'Detailed Car List + Stats'!G413</f>
        <v>Germany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6.5" customHeight="1">
      <c r="A414" s="6" t="str">
        <f>'Detailed Car List + Stats'!B414</f>
        <v>1955</v>
      </c>
      <c r="B414" s="6" t="str">
        <f>'Detailed Car List + Stats'!C414</f>
        <v>Mercedes-Benz</v>
      </c>
      <c r="C414" s="6" t="str">
        <f>'Detailed Car List + Stats'!D414</f>
        <v>300 SLR</v>
      </c>
      <c r="D414" s="6" t="str">
        <f>'Detailed Car List + Stats'!E414</f>
        <v>Classic Racers</v>
      </c>
      <c r="E414" s="6" t="s">
        <v>35</v>
      </c>
      <c r="F414" s="6" t="str">
        <f>'Detailed Car List + Stats'!G414</f>
        <v>Germany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6.5" customHeight="1">
      <c r="A415" s="6" t="str">
        <f>'Detailed Car List + Stats'!B415</f>
        <v>2013</v>
      </c>
      <c r="B415" s="6" t="str">
        <f>'Detailed Car List + Stats'!C415</f>
        <v>Mercedes-Benz</v>
      </c>
      <c r="C415" s="6" t="str">
        <f>'Detailed Car List + Stats'!D415</f>
        <v>A 45 AMG</v>
      </c>
      <c r="D415" s="6" t="str">
        <f>'Detailed Car List + Stats'!E415</f>
        <v>Super Hot Hatch</v>
      </c>
      <c r="E415" s="6" t="s">
        <v>35</v>
      </c>
      <c r="F415" s="6" t="str">
        <f>'Detailed Car List + Stats'!G415</f>
        <v>Germany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6.5" customHeight="1">
      <c r="A416" s="6" t="str">
        <f>'Detailed Car List + Stats'!B416</f>
        <v>1998</v>
      </c>
      <c r="B416" s="6" t="str">
        <f>'Detailed Car List + Stats'!C416</f>
        <v>Mercedes-Benz</v>
      </c>
      <c r="C416" s="6" t="str">
        <f>'Detailed Car List + Stats'!D416</f>
        <v>AMG CLK GTR</v>
      </c>
      <c r="D416" s="6" t="str">
        <f>'Detailed Car List + Stats'!E416</f>
        <v>Retro Supercars</v>
      </c>
      <c r="E416" s="6" t="s">
        <v>53</v>
      </c>
      <c r="F416" s="6" t="str">
        <f>'Detailed Car List + Stats'!G416</f>
        <v>Germany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6.5" customHeight="1">
      <c r="A417" s="6" t="str">
        <f>'Detailed Car List + Stats'!B417</f>
        <v>1987</v>
      </c>
      <c r="B417" s="6" t="str">
        <f>'Detailed Car List + Stats'!C417</f>
        <v>Mercedes-Benz</v>
      </c>
      <c r="C417" s="6" t="str">
        <f>'Detailed Car List + Stats'!D417</f>
        <v>AMG Hammer Coupe</v>
      </c>
      <c r="D417" s="6" t="str">
        <f>'Detailed Car List + Stats'!E417</f>
        <v>Retro Super Saloons</v>
      </c>
      <c r="E417" s="6" t="s">
        <v>35</v>
      </c>
      <c r="F417" s="6" t="str">
        <f>'Detailed Car List + Stats'!G417</f>
        <v>Germany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6.5" customHeight="1">
      <c r="A418" s="6" t="str">
        <f>'Detailed Car List + Stats'!B418</f>
        <v>2012</v>
      </c>
      <c r="B418" s="6" t="str">
        <f>'Detailed Car List + Stats'!C418</f>
        <v>Mercedes-Benz</v>
      </c>
      <c r="C418" s="6" t="str">
        <f>'Detailed Car List + Stats'!D418</f>
        <v>C 63 AMG Coupé Black Series</v>
      </c>
      <c r="D418" s="6" t="str">
        <f>'Detailed Car List + Stats'!E418</f>
        <v>Modern Super Saloons</v>
      </c>
      <c r="E418" s="6" t="s">
        <v>78</v>
      </c>
      <c r="F418" s="6" t="str">
        <f>'Detailed Car List + Stats'!G418</f>
        <v>Germany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6.5" customHeight="1">
      <c r="A419" s="6" t="str">
        <f>'Detailed Car List + Stats'!B419</f>
        <v>2014</v>
      </c>
      <c r="B419" s="6" t="str">
        <f>'Detailed Car List + Stats'!C419</f>
        <v>Mercedes-Benz</v>
      </c>
      <c r="C419" s="6" t="str">
        <f>'Detailed Car List + Stats'!D419</f>
        <v>G 63 AMG 6x6</v>
      </c>
      <c r="D419" s="6" t="str">
        <f>'Detailed Car List + Stats'!E419</f>
        <v>Pickups &amp; 4x4s</v>
      </c>
      <c r="E419" s="6" t="s">
        <v>28</v>
      </c>
      <c r="F419" s="6" t="str">
        <f>'Detailed Car List + Stats'!G419</f>
        <v>Germany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6.5" customHeight="1">
      <c r="A420" s="6" t="str">
        <f>'Detailed Car List + Stats'!B420</f>
        <v>2013</v>
      </c>
      <c r="B420" s="6" t="str">
        <f>'Detailed Car List + Stats'!C420</f>
        <v>Mercedes-Benz</v>
      </c>
      <c r="C420" s="6" t="str">
        <f>'Detailed Car List + Stats'!D420</f>
        <v>G 65 AMG</v>
      </c>
      <c r="D420" s="6" t="str">
        <f>'Detailed Car List + Stats'!E420</f>
        <v>Pickups &amp; 4x4s</v>
      </c>
      <c r="E420" s="6" t="s">
        <v>35</v>
      </c>
      <c r="F420" s="6" t="str">
        <f>'Detailed Car List + Stats'!G420</f>
        <v>Germany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6.5" customHeight="1">
      <c r="A421" s="6" t="str">
        <f>'Detailed Car List + Stats'!B421</f>
        <v>2009</v>
      </c>
      <c r="B421" s="6" t="str">
        <f>'Detailed Car List + Stats'!C421</f>
        <v>Mercedes-Benz</v>
      </c>
      <c r="C421" s="6" t="str">
        <f>'Detailed Car List + Stats'!D421</f>
        <v>SL 65 AMG Black Series</v>
      </c>
      <c r="D421" s="6" t="str">
        <f>'Detailed Car List + Stats'!E421</f>
        <v>Super GT</v>
      </c>
      <c r="E421" s="6" t="s">
        <v>78</v>
      </c>
      <c r="F421" s="6" t="str">
        <f>'Detailed Car List + Stats'!G421</f>
        <v>Germany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6.5" customHeight="1">
      <c r="A422" s="6" t="str">
        <f>'Detailed Car List + Stats'!B422</f>
        <v>2014</v>
      </c>
      <c r="B422" s="6" t="str">
        <f>'Detailed Car List + Stats'!C422</f>
        <v>Mercedes-Benz</v>
      </c>
      <c r="C422" s="6" t="str">
        <f>'Detailed Car List + Stats'!D422</f>
        <v>Unimog U5023</v>
      </c>
      <c r="D422" s="6" t="str">
        <f>'Detailed Car List + Stats'!E422</f>
        <v>Offroad</v>
      </c>
      <c r="E422" s="6" t="s">
        <v>31</v>
      </c>
      <c r="F422" s="6" t="str">
        <f>'Detailed Car List + Stats'!G422</f>
        <v>Germany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6.5" customHeight="1">
      <c r="A423" s="6" t="str">
        <f>'Detailed Car List + Stats'!B423</f>
        <v>2018</v>
      </c>
      <c r="B423" s="6" t="str">
        <f>'Detailed Car List + Stats'!C423</f>
        <v>Mercedes-Benz</v>
      </c>
      <c r="C423" s="6" t="str">
        <f>'Detailed Car List + Stats'!D423</f>
        <v>X-Class</v>
      </c>
      <c r="D423" s="6" t="str">
        <f>'Detailed Car List + Stats'!E423</f>
        <v>Pickups &amp; 4x4s</v>
      </c>
      <c r="E423" s="6" t="s">
        <v>31</v>
      </c>
      <c r="F423" s="6" t="str">
        <f>'Detailed Car List + Stats'!G423</f>
        <v>Germany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6.5" customHeight="1">
      <c r="A424" s="6" t="str">
        <f>'Detailed Car List + Stats'!B424</f>
        <v>1971</v>
      </c>
      <c r="B424" s="6" t="str">
        <f>'Detailed Car List + Stats'!C424</f>
        <v>Meyers</v>
      </c>
      <c r="C424" s="6" t="str">
        <f>'Detailed Car List + Stats'!D424</f>
        <v>Manx</v>
      </c>
      <c r="D424" s="6" t="str">
        <f>'Detailed Car List + Stats'!E424</f>
        <v>Buggies</v>
      </c>
      <c r="E424" s="6" t="s">
        <v>31</v>
      </c>
      <c r="F424" s="6" t="str">
        <f>'Detailed Car List + Stats'!G424</f>
        <v>USA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6.5" customHeight="1">
      <c r="A425" s="6" t="str">
        <f>'Detailed Car List + Stats'!B425</f>
        <v>2023</v>
      </c>
      <c r="B425" s="6" t="str">
        <f>'Detailed Car List + Stats'!C425</f>
        <v>Meyers</v>
      </c>
      <c r="C425" s="6" t="str">
        <f>'Detailed Car List + Stats'!D425</f>
        <v>Manx 2.0</v>
      </c>
      <c r="D425" s="6" t="str">
        <f>'Detailed Car List + Stats'!E425</f>
        <v>Buggies</v>
      </c>
      <c r="E425" s="6" t="s">
        <v>35</v>
      </c>
      <c r="F425" s="6" t="str">
        <f>'Detailed Car List + Stats'!G425</f>
        <v>USA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6.5" customHeight="1">
      <c r="A426" s="6" t="str">
        <f>'Detailed Car List + Stats'!B426</f>
        <v>1986</v>
      </c>
      <c r="B426" s="6" t="str">
        <f>'Detailed Car List + Stats'!C426</f>
        <v>MG</v>
      </c>
      <c r="C426" s="6" t="str">
        <f>'Detailed Car List + Stats'!D426</f>
        <v>Metro 6R4</v>
      </c>
      <c r="D426" s="6" t="str">
        <f>'Detailed Car List + Stats'!E426</f>
        <v>Rally Monsters</v>
      </c>
      <c r="E426" s="6" t="s">
        <v>78</v>
      </c>
      <c r="F426" s="6" t="str">
        <f>'Detailed Car List + Stats'!G426</f>
        <v>UK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6.5" customHeight="1">
      <c r="A427" s="6" t="str">
        <f>'Detailed Car List + Stats'!B427</f>
        <v>1965</v>
      </c>
      <c r="B427" s="6" t="str">
        <f>'Detailed Car List + Stats'!C427</f>
        <v>MINI</v>
      </c>
      <c r="C427" s="6" t="str">
        <f>'Detailed Car List + Stats'!D427</f>
        <v>Cooper S</v>
      </c>
      <c r="D427" s="6" t="str">
        <f>'Detailed Car List + Stats'!E427</f>
        <v>Classic Rally</v>
      </c>
      <c r="E427" s="6" t="s">
        <v>31</v>
      </c>
      <c r="F427" s="6" t="str">
        <f>'Detailed Car List + Stats'!G427</f>
        <v>UK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6.5" customHeight="1">
      <c r="A428" s="6" t="str">
        <f>'Detailed Car List + Stats'!B428</f>
        <v>2012</v>
      </c>
      <c r="B428" s="6" t="str">
        <f>'Detailed Car List + Stats'!C428</f>
        <v>MINI</v>
      </c>
      <c r="C428" s="6" t="str">
        <f>'Detailed Car List + Stats'!D428</f>
        <v>John Cooper Works GP</v>
      </c>
      <c r="D428" s="6" t="str">
        <f>'Detailed Car List + Stats'!E428</f>
        <v>Hot Hatch</v>
      </c>
      <c r="E428" s="6" t="s">
        <v>35</v>
      </c>
      <c r="F428" s="6" t="str">
        <f>'Detailed Car List + Stats'!G428</f>
        <v>UK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6.5" customHeight="1">
      <c r="A429" s="6" t="str">
        <f>'Detailed Car List + Stats'!B429</f>
        <v>2021</v>
      </c>
      <c r="B429" s="6" t="str">
        <f>'Detailed Car List + Stats'!C429</f>
        <v>MINI</v>
      </c>
      <c r="C429" s="6" t="str">
        <f>'Detailed Car List + Stats'!D429</f>
        <v>John Cooper Works GP</v>
      </c>
      <c r="D429" s="6" t="str">
        <f>'Detailed Car List + Stats'!E429</f>
        <v>Super Hot Hatch</v>
      </c>
      <c r="E429" s="6" t="s">
        <v>35</v>
      </c>
      <c r="F429" s="6" t="str">
        <f>'Detailed Car List + Stats'!G429</f>
        <v>UK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6.5" customHeight="1">
      <c r="A430" s="6" t="str">
        <f>'Detailed Car List + Stats'!B430</f>
        <v>2013</v>
      </c>
      <c r="B430" s="6" t="str">
        <f>'Detailed Car List + Stats'!C430</f>
        <v>MINI</v>
      </c>
      <c r="C430" s="6" t="str">
        <f>'Detailed Car List + Stats'!D430</f>
        <v>X-Raid All4 Racing Countryman</v>
      </c>
      <c r="D430" s="6" t="str">
        <f>'Detailed Car List + Stats'!E430</f>
        <v>Offroad</v>
      </c>
      <c r="E430" s="6" t="s">
        <v>35</v>
      </c>
      <c r="F430" s="6" t="str">
        <f>'Detailed Car List + Stats'!G430</f>
        <v>UK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6.5" customHeight="1">
      <c r="A431" s="6" t="str">
        <f>'Detailed Car List + Stats'!B431</f>
        <v>2018</v>
      </c>
      <c r="B431" s="6" t="str">
        <f>'Detailed Car List + Stats'!C431</f>
        <v>MINI</v>
      </c>
      <c r="C431" s="6" t="str">
        <f>'Detailed Car List + Stats'!D431</f>
        <v>X-Raid John Cooper Works Buggy</v>
      </c>
      <c r="D431" s="6" t="str">
        <f>'Detailed Car List + Stats'!E431</f>
        <v>Offroad</v>
      </c>
      <c r="E431" s="6" t="s">
        <v>35</v>
      </c>
      <c r="F431" s="6" t="str">
        <f>'Detailed Car List + Stats'!G431</f>
        <v>UK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6.5" customHeight="1">
      <c r="A432" s="6" t="str">
        <f>'Detailed Car List + Stats'!B432</f>
        <v>2005</v>
      </c>
      <c r="B432" s="6" t="str">
        <f>'Detailed Car List + Stats'!C432</f>
        <v>Mitsubishi</v>
      </c>
      <c r="C432" s="6" t="str">
        <f>'Detailed Car List + Stats'!D432</f>
        <v>#1 Sierra Sierra Enterprises Lancer Evolution Time Attack</v>
      </c>
      <c r="D432" s="6" t="str">
        <f>'Detailed Car List + Stats'!E432</f>
        <v>Extreme Track Toys</v>
      </c>
      <c r="E432" s="6" t="s">
        <v>108</v>
      </c>
      <c r="F432" s="6" t="str">
        <f>'Detailed Car List + Stats'!G432</f>
        <v>Japan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6.5" customHeight="1">
      <c r="A433" s="6" t="str">
        <f>'Detailed Car List + Stats'!B433</f>
        <v>1990</v>
      </c>
      <c r="B433" s="6" t="str">
        <f>'Detailed Car List + Stats'!C433</f>
        <v>Mitsubishi</v>
      </c>
      <c r="C433" s="6" t="str">
        <f>'Detailed Car List + Stats'!D433</f>
        <v>#269 Attacking the Clock Racing Minicab Time Attack</v>
      </c>
      <c r="D433" s="6" t="str">
        <f>'Detailed Car List + Stats'!E433</f>
        <v>Track Toys</v>
      </c>
      <c r="E433" s="6" t="s">
        <v>31</v>
      </c>
      <c r="F433" s="6" t="str">
        <f>'Detailed Car List + Stats'!G433</f>
        <v>Japan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6.5" customHeight="1">
      <c r="A434" s="6" t="str">
        <f>'Detailed Car List + Stats'!B434</f>
        <v>1995</v>
      </c>
      <c r="B434" s="6" t="str">
        <f>'Detailed Car List + Stats'!C434</f>
        <v>Mitsubishi</v>
      </c>
      <c r="C434" s="6" t="str">
        <f>'Detailed Car List + Stats'!D434</f>
        <v>Eclipse GSX</v>
      </c>
      <c r="D434" s="6" t="str">
        <f>'Detailed Car List + Stats'!E434</f>
        <v>Retro Sports Cars</v>
      </c>
      <c r="E434" s="6" t="s">
        <v>28</v>
      </c>
      <c r="F434" s="6" t="str">
        <f>'Detailed Car List + Stats'!G434</f>
        <v>Japan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6.5" customHeight="1">
      <c r="A435" s="6" t="str">
        <f>'Detailed Car List + Stats'!B435</f>
        <v>1992</v>
      </c>
      <c r="B435" s="6" t="str">
        <f>'Detailed Car List + Stats'!C435</f>
        <v>Mitsubishi</v>
      </c>
      <c r="C435" s="6" t="str">
        <f>'Detailed Car List + Stats'!D435</f>
        <v>Galant VR-4</v>
      </c>
      <c r="D435" s="6" t="str">
        <f>'Detailed Car List + Stats'!E435</f>
        <v>Retro Rally</v>
      </c>
      <c r="E435" s="6" t="s">
        <v>28</v>
      </c>
      <c r="F435" s="6" t="str">
        <f>'Detailed Car List + Stats'!G435</f>
        <v>Japan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6.5" customHeight="1">
      <c r="A436" s="6" t="str">
        <f>'Detailed Car List + Stats'!B436</f>
        <v>1997</v>
      </c>
      <c r="B436" s="6" t="str">
        <f>'Detailed Car List + Stats'!C436</f>
        <v>Mitsubishi</v>
      </c>
      <c r="C436" s="6" t="str">
        <f>'Detailed Car List + Stats'!D436</f>
        <v>GTO</v>
      </c>
      <c r="D436" s="6" t="str">
        <f>'Detailed Car List + Stats'!E436</f>
        <v>Retro Sports Cars</v>
      </c>
      <c r="E436" s="6" t="s">
        <v>28</v>
      </c>
      <c r="F436" s="6" t="str">
        <f>'Detailed Car List + Stats'!G436</f>
        <v>Japan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6.5" customHeight="1">
      <c r="A437" s="6" t="str">
        <f>'Detailed Car List + Stats'!B437</f>
        <v>1995</v>
      </c>
      <c r="B437" s="6" t="str">
        <f>'Detailed Car List + Stats'!C437</f>
        <v>Mitsubishi</v>
      </c>
      <c r="C437" s="6" t="str">
        <f>'Detailed Car List + Stats'!D437</f>
        <v>Lancer Evolution III GSR</v>
      </c>
      <c r="D437" s="6" t="str">
        <f>'Detailed Car List + Stats'!E437</f>
        <v>Retro Rally</v>
      </c>
      <c r="E437" s="6" t="s">
        <v>35</v>
      </c>
      <c r="F437" s="6" t="str">
        <f>'Detailed Car List + Stats'!G437</f>
        <v>Japan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6.5" customHeight="1">
      <c r="A438" s="6" t="str">
        <f>'Detailed Car List + Stats'!B438</f>
        <v>2006</v>
      </c>
      <c r="B438" s="6" t="str">
        <f>'Detailed Car List + Stats'!C438</f>
        <v>Mitsubishi</v>
      </c>
      <c r="C438" s="6" t="str">
        <f>'Detailed Car List + Stats'!D438</f>
        <v>Lancer Evolution IX MR</v>
      </c>
      <c r="D438" s="6" t="str">
        <f>'Detailed Car List + Stats'!E438</f>
        <v>Modern Rally</v>
      </c>
      <c r="E438" s="6" t="s">
        <v>35</v>
      </c>
      <c r="F438" s="6" t="str">
        <f>'Detailed Car List + Stats'!G438</f>
        <v>Japan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6.5" customHeight="1">
      <c r="A439" s="6" t="str">
        <f>'Detailed Car List + Stats'!B439</f>
        <v>2001</v>
      </c>
      <c r="B439" s="6" t="str">
        <f>'Detailed Car List + Stats'!C439</f>
        <v>Mitsubishi</v>
      </c>
      <c r="C439" s="6" t="str">
        <f>'Detailed Car List + Stats'!D439</f>
        <v>Lancer Evolution VI GSR TM Edition</v>
      </c>
      <c r="D439" s="6" t="str">
        <f>'Detailed Car List + Stats'!E439</f>
        <v>Retro Rally</v>
      </c>
      <c r="E439" s="6" t="s">
        <v>35</v>
      </c>
      <c r="F439" s="6" t="str">
        <f>'Detailed Car List + Stats'!G439</f>
        <v>Japan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6.5" customHeight="1">
      <c r="A440" s="6" t="str">
        <f>'Detailed Car List + Stats'!B440</f>
        <v>2004</v>
      </c>
      <c r="B440" s="6" t="str">
        <f>'Detailed Car List + Stats'!C440</f>
        <v>Mitsubishi</v>
      </c>
      <c r="C440" s="6" t="str">
        <f>'Detailed Car List + Stats'!D440</f>
        <v>Lancer Evolution VIII MR</v>
      </c>
      <c r="D440" s="6" t="str">
        <f>'Detailed Car List + Stats'!E440</f>
        <v>Modern Rally</v>
      </c>
      <c r="E440" s="6" t="s">
        <v>35</v>
      </c>
      <c r="F440" s="6" t="str">
        <f>'Detailed Car List + Stats'!G440</f>
        <v>Japan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6.5" customHeight="1">
      <c r="A441" s="6" t="str">
        <f>'Detailed Car List + Stats'!B441</f>
        <v>2004</v>
      </c>
      <c r="B441" s="6" t="str">
        <f>'Detailed Car List + Stats'!C441</f>
        <v>Mitsubishi</v>
      </c>
      <c r="C441" s="6" t="str">
        <f>'Detailed Car List + Stats'!D441</f>
        <v>Lancer Evolution VIII MR Welcome Pack</v>
      </c>
      <c r="D441" s="6" t="str">
        <f>'Detailed Car List + Stats'!E441</f>
        <v>Modern Rally</v>
      </c>
      <c r="E441" s="6" t="s">
        <v>78</v>
      </c>
      <c r="F441" s="6" t="str">
        <f>'Detailed Car List + Stats'!G441</f>
        <v>Japan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6.5" customHeight="1">
      <c r="A442" s="6" t="str">
        <f>'Detailed Car List + Stats'!B442</f>
        <v>2008</v>
      </c>
      <c r="B442" s="6" t="str">
        <f>'Detailed Car List + Stats'!C442</f>
        <v>Mitsubishi</v>
      </c>
      <c r="C442" s="6" t="str">
        <f>'Detailed Car List + Stats'!D442</f>
        <v>Lancer Evolution X GSR</v>
      </c>
      <c r="D442" s="6" t="str">
        <f>'Detailed Car List + Stats'!E442</f>
        <v>Modern Rally</v>
      </c>
      <c r="E442" s="6" t="s">
        <v>35</v>
      </c>
      <c r="F442" s="6" t="str">
        <f>'Detailed Car List + Stats'!G442</f>
        <v>Japan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6.5" customHeight="1">
      <c r="A443" s="6" t="str">
        <f>'Detailed Car List + Stats'!B443</f>
        <v>1997</v>
      </c>
      <c r="B443" s="6" t="str">
        <f>'Detailed Car List + Stats'!C443</f>
        <v>Mitsubishi</v>
      </c>
      <c r="C443" s="6" t="str">
        <f>'Detailed Car List + Stats'!D443</f>
        <v>Montero Evolution</v>
      </c>
      <c r="D443" s="6" t="str">
        <f>'Detailed Car List + Stats'!E443</f>
        <v>Pickups &amp; 4x4s</v>
      </c>
      <c r="E443" s="6" t="s">
        <v>31</v>
      </c>
      <c r="F443" s="6" t="str">
        <f>'Detailed Car List + Stats'!G443</f>
        <v>Japan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6.5" customHeight="1">
      <c r="A444" s="6" t="str">
        <f>'Detailed Car List + Stats'!B444</f>
        <v>1995</v>
      </c>
      <c r="B444" s="6" t="str">
        <f>'Detailed Car List + Stats'!C444</f>
        <v>Mitsubishi</v>
      </c>
      <c r="C444" s="6" t="str">
        <f>'Detailed Car List + Stats'!D444</f>
        <v>Montero Exceed 2800 TD</v>
      </c>
      <c r="D444" s="6" t="str">
        <f>'Detailed Car List + Stats'!E444</f>
        <v>Pickups &amp; 4x4s</v>
      </c>
      <c r="E444" s="6" t="s">
        <v>31</v>
      </c>
      <c r="F444" s="6" t="str">
        <f>'Detailed Car List + Stats'!G444</f>
        <v>Japan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6.5" customHeight="1">
      <c r="A445" s="6" t="str">
        <f>'Detailed Car List + Stats'!B445</f>
        <v>1988</v>
      </c>
      <c r="B445" s="6" t="str">
        <f>'Detailed Car List + Stats'!C445</f>
        <v>Mitsubishi</v>
      </c>
      <c r="C445" s="6" t="str">
        <f>'Detailed Car List + Stats'!D445</f>
        <v>Starion ESI-R</v>
      </c>
      <c r="D445" s="6" t="str">
        <f>'Detailed Car List + Stats'!E445</f>
        <v>Retro Sports Cars</v>
      </c>
      <c r="E445" s="6" t="s">
        <v>28</v>
      </c>
      <c r="F445" s="6" t="str">
        <f>'Detailed Car List + Stats'!G445</f>
        <v>Japan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6.5" customHeight="1">
      <c r="A446" s="6" t="str">
        <f>'Detailed Car List + Stats'!B446</f>
        <v>1983</v>
      </c>
      <c r="B446" s="6" t="str">
        <f>'Detailed Car List + Stats'!C446</f>
        <v>Nissan</v>
      </c>
      <c r="C446" s="6" t="str">
        <f>'Detailed Car List + Stats'!D446</f>
        <v>#11 Tomica Skyline Turbo Super Silhouette</v>
      </c>
      <c r="D446" s="6" t="str">
        <f>'Detailed Car List + Stats'!E446</f>
        <v>Retro Racers</v>
      </c>
      <c r="E446" s="6" t="s">
        <v>138</v>
      </c>
      <c r="F446" s="6" t="str">
        <f>'Detailed Car List + Stats'!G446</f>
        <v>Japan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6.5" customHeight="1">
      <c r="A447" s="6" t="str">
        <f>'Detailed Car List + Stats'!B447</f>
        <v>1990</v>
      </c>
      <c r="B447" s="6" t="str">
        <f>'Detailed Car List + Stats'!C447</f>
        <v>Nissan</v>
      </c>
      <c r="C447" s="6" t="str">
        <f>'Detailed Car List + Stats'!D447</f>
        <v>#12 Skyline GT-R (BNR32 Gr.A) JTC</v>
      </c>
      <c r="D447" s="6" t="str">
        <f>'Detailed Car List + Stats'!E447</f>
        <v>Retro Racers</v>
      </c>
      <c r="E447" s="6" t="s">
        <v>138</v>
      </c>
      <c r="F447" s="6" t="str">
        <f>'Detailed Car List + Stats'!G447</f>
        <v>Japan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6.5" customHeight="1">
      <c r="A448" s="6" t="str">
        <f>'Detailed Car List + Stats'!B448</f>
        <v>1998</v>
      </c>
      <c r="B448" s="6" t="str">
        <f>'Detailed Car List + Stats'!C448</f>
        <v>Nissan</v>
      </c>
      <c r="C448" s="6" t="str">
        <f>'Detailed Car List + Stats'!D448</f>
        <v>#23 Pennzoil Nismo Skyline GT-R</v>
      </c>
      <c r="D448" s="6" t="str">
        <f>'Detailed Car List + Stats'!E448</f>
        <v>Retro Racers</v>
      </c>
      <c r="E448" s="6" t="s">
        <v>138</v>
      </c>
      <c r="F448" s="6" t="str">
        <f>'Detailed Car List + Stats'!G448</f>
        <v>Japan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6.5" customHeight="1">
      <c r="A449" s="6" t="str">
        <f>'Detailed Car List + Stats'!B449</f>
        <v>1993</v>
      </c>
      <c r="B449" s="6" t="str">
        <f>'Detailed Car List + Stats'!C449</f>
        <v>Nissan</v>
      </c>
      <c r="C449" s="6" t="str">
        <f>'Detailed Car List + Stats'!D449</f>
        <v>#32 Skyline WTAC 'Xtreme GTR'</v>
      </c>
      <c r="D449" s="6" t="str">
        <f>'Detailed Car List + Stats'!E449</f>
        <v>Extreme Track Toys</v>
      </c>
      <c r="E449" s="6" t="s">
        <v>108</v>
      </c>
      <c r="F449" s="6" t="str">
        <f>'Detailed Car List + Stats'!G449</f>
        <v>Japan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6.5" customHeight="1">
      <c r="A450" s="6" t="str">
        <f>'Detailed Car List + Stats'!B450</f>
        <v>2000</v>
      </c>
      <c r="B450" s="6" t="str">
        <f>'Detailed Car List + Stats'!C450</f>
        <v>Nissan</v>
      </c>
      <c r="C450" s="6" t="str">
        <f>'Detailed Car List + Stats'!D450</f>
        <v>#36 Dream Project S15 Silvia WTAC</v>
      </c>
      <c r="D450" s="6" t="str">
        <f>'Detailed Car List + Stats'!E450</f>
        <v>Extreme Track Toys</v>
      </c>
      <c r="E450" s="6" t="s">
        <v>108</v>
      </c>
      <c r="F450" s="6" t="str">
        <f>'Detailed Car List + Stats'!G450</f>
        <v>Japan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6.5" customHeight="1">
      <c r="A451" s="6" t="str">
        <f>'Detailed Car List + Stats'!B451</f>
        <v>1993</v>
      </c>
      <c r="B451" s="6" t="str">
        <f>'Detailed Car List + Stats'!C451</f>
        <v>Nissan</v>
      </c>
      <c r="C451" s="6" t="str">
        <f>'Detailed Car List + Stats'!D451</f>
        <v>240SX</v>
      </c>
      <c r="D451" s="6" t="str">
        <f>'Detailed Car List + Stats'!E451</f>
        <v>Retro Sports Cars</v>
      </c>
      <c r="E451" s="6" t="s">
        <v>31</v>
      </c>
      <c r="F451" s="6" t="str">
        <f>'Detailed Car List + Stats'!G451</f>
        <v>Japan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6.5" customHeight="1">
      <c r="A452" s="6" t="str">
        <f>'Detailed Car List + Stats'!B452</f>
        <v>2010</v>
      </c>
      <c r="B452" s="6" t="str">
        <f>'Detailed Car List + Stats'!C452</f>
        <v>Nissan</v>
      </c>
      <c r="C452" s="6" t="str">
        <f>'Detailed Car List + Stats'!D452</f>
        <v>370Z</v>
      </c>
      <c r="D452" s="6" t="str">
        <f>'Detailed Car List + Stats'!E452</f>
        <v>Modern Sports Cars</v>
      </c>
      <c r="E452" s="6" t="s">
        <v>35</v>
      </c>
      <c r="F452" s="6" t="str">
        <f>'Detailed Car List + Stats'!G452</f>
        <v>Japan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6.5" customHeight="1">
      <c r="A453" s="6" t="str">
        <f>'Detailed Car List + Stats'!B453</f>
        <v>2019</v>
      </c>
      <c r="B453" s="6" t="str">
        <f>'Detailed Car List + Stats'!C453</f>
        <v>Nissan</v>
      </c>
      <c r="C453" s="6" t="str">
        <f>'Detailed Car List + Stats'!D453</f>
        <v>370Z Nismo</v>
      </c>
      <c r="D453" s="6" t="str">
        <f>'Detailed Car List + Stats'!E453</f>
        <v>Modern Sports Cars</v>
      </c>
      <c r="E453" s="6" t="s">
        <v>78</v>
      </c>
      <c r="F453" s="6" t="str">
        <f>'Detailed Car List + Stats'!G453</f>
        <v>Japan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6.5" customHeight="1">
      <c r="A454" s="6" t="str">
        <f>'Detailed Car List + Stats'!B454</f>
        <v>1987</v>
      </c>
      <c r="B454" s="6" t="str">
        <f>'Detailed Car List + Stats'!C454</f>
        <v>Nissan</v>
      </c>
      <c r="C454" s="6" t="str">
        <f>'Detailed Car List + Stats'!D454</f>
        <v>Be-1</v>
      </c>
      <c r="D454" s="6" t="str">
        <f>'Detailed Car List + Stats'!E454</f>
        <v>Eclectic Domestics</v>
      </c>
      <c r="E454" s="6" t="s">
        <v>31</v>
      </c>
      <c r="F454" s="6" t="str">
        <f>'Detailed Car List + Stats'!G454</f>
        <v>Japan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6.5" customHeight="1">
      <c r="A455" s="6" t="str">
        <f>'Detailed Car List + Stats'!B455</f>
        <v>2003</v>
      </c>
      <c r="B455" s="6" t="str">
        <f>'Detailed Car List + Stats'!C455</f>
        <v>Nissan</v>
      </c>
      <c r="C455" s="6" t="str">
        <f>'Detailed Car List + Stats'!D455</f>
        <v>Fairlady Z</v>
      </c>
      <c r="D455" s="6" t="str">
        <f>'Detailed Car List + Stats'!E455</f>
        <v>Retro Sports Cars</v>
      </c>
      <c r="E455" s="6" t="s">
        <v>35</v>
      </c>
      <c r="F455" s="6" t="str">
        <f>'Detailed Car List + Stats'!G455</f>
        <v>Japan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6.5" customHeight="1">
      <c r="A456" s="6" t="str">
        <f>'Detailed Car List + Stats'!B456</f>
        <v>1969</v>
      </c>
      <c r="B456" s="6" t="str">
        <f>'Detailed Car List + Stats'!C456</f>
        <v>Nissan</v>
      </c>
      <c r="C456" s="6" t="str">
        <f>'Detailed Car List + Stats'!D456</f>
        <v>Fairlady Z 432</v>
      </c>
      <c r="D456" s="6" t="str">
        <f>'Detailed Car List + Stats'!E456</f>
        <v>Classic Sports Cars</v>
      </c>
      <c r="E456" s="6" t="s">
        <v>31</v>
      </c>
      <c r="F456" s="6" t="str">
        <f>'Detailed Car List + Stats'!G456</f>
        <v>Japan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6.5" customHeight="1">
      <c r="A457" s="6" t="str">
        <f>'Detailed Car List + Stats'!B457</f>
        <v>1994</v>
      </c>
      <c r="B457" s="6" t="str">
        <f>'Detailed Car List + Stats'!C457</f>
        <v>Nissan</v>
      </c>
      <c r="C457" s="6" t="str">
        <f>'Detailed Car List + Stats'!D457</f>
        <v>Fairlady Z Version S Twin Turbo</v>
      </c>
      <c r="D457" s="6" t="str">
        <f>'Detailed Car List + Stats'!E457</f>
        <v>Retro Sports Cars</v>
      </c>
      <c r="E457" s="6" t="s">
        <v>28</v>
      </c>
      <c r="F457" s="6" t="str">
        <f>'Detailed Car List + Stats'!G457</f>
        <v>Japan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6.5" customHeight="1">
      <c r="A458" s="6" t="str">
        <f>'Detailed Car List + Stats'!B458</f>
        <v>1991</v>
      </c>
      <c r="B458" s="6" t="str">
        <f>'Detailed Car List + Stats'!C458</f>
        <v>Nissan</v>
      </c>
      <c r="C458" s="6" t="str">
        <f>'Detailed Car List + Stats'!D458</f>
        <v>Figaro</v>
      </c>
      <c r="D458" s="6" t="str">
        <f>'Detailed Car List + Stats'!E458</f>
        <v>Eclectic Domestics</v>
      </c>
      <c r="E458" s="6" t="s">
        <v>31</v>
      </c>
      <c r="F458" s="6" t="str">
        <f>'Detailed Car List + Stats'!G458</f>
        <v>Japan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6.5" customHeight="1">
      <c r="A459" s="6" t="str">
        <f>'Detailed Car List + Stats'!B459</f>
        <v>1995</v>
      </c>
      <c r="B459" s="6" t="str">
        <f>'Detailed Car List + Stats'!C459</f>
        <v>Nissan</v>
      </c>
      <c r="C459" s="6" t="str">
        <f>'Detailed Car List + Stats'!D459</f>
        <v>Gloria Gran Turismo</v>
      </c>
      <c r="D459" s="6" t="str">
        <f>'Detailed Car List + Stats'!E459</f>
        <v>Retro Super Saloons</v>
      </c>
      <c r="E459" s="6" t="s">
        <v>28</v>
      </c>
      <c r="F459" s="6" t="str">
        <f>'Detailed Car List + Stats'!G459</f>
        <v>Japan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6.5" customHeight="1">
      <c r="A460" s="6" t="str">
        <f>'Detailed Car List + Stats'!B460</f>
        <v>2017</v>
      </c>
      <c r="B460" s="6" t="str">
        <f>'Detailed Car List + Stats'!C460</f>
        <v>Nissan</v>
      </c>
      <c r="C460" s="6" t="str">
        <f>'Detailed Car List + Stats'!D460</f>
        <v>GT-R</v>
      </c>
      <c r="D460" s="6" t="str">
        <f>'Detailed Car List + Stats'!E460</f>
        <v>Modern Supercars</v>
      </c>
      <c r="E460" s="6" t="s">
        <v>53</v>
      </c>
      <c r="F460" s="6" t="str">
        <f>'Detailed Car List + Stats'!G460</f>
        <v>Japan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6.5" customHeight="1">
      <c r="A461" s="6" t="str">
        <f>'Detailed Car List + Stats'!B461</f>
        <v>2012</v>
      </c>
      <c r="B461" s="6" t="str">
        <f>'Detailed Car List + Stats'!C461</f>
        <v>Nissan</v>
      </c>
      <c r="C461" s="6" t="str">
        <f>'Detailed Car List + Stats'!D461</f>
        <v>GT-R Black Edition</v>
      </c>
      <c r="D461" s="6" t="str">
        <f>'Detailed Car List + Stats'!E461</f>
        <v>Modern Supercars</v>
      </c>
      <c r="E461" s="6" t="s">
        <v>53</v>
      </c>
      <c r="F461" s="6" t="str">
        <f>'Detailed Car List + Stats'!G461</f>
        <v>Japan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6.5" customHeight="1">
      <c r="A462" s="6" t="str">
        <f>'Detailed Car List + Stats'!B462</f>
        <v>2012</v>
      </c>
      <c r="B462" s="6" t="str">
        <f>'Detailed Car List + Stats'!C462</f>
        <v>Nissan</v>
      </c>
      <c r="C462" s="6" t="str">
        <f>'Detailed Car List + Stats'!D462</f>
        <v>GT-R Black Edition Forza Edition</v>
      </c>
      <c r="D462" s="6" t="str">
        <f>'Detailed Car List + Stats'!E462</f>
        <v>Extreme Track Toys</v>
      </c>
      <c r="E462" s="6" t="s">
        <v>138</v>
      </c>
      <c r="F462" s="6" t="str">
        <f>'Detailed Car List + Stats'!G462</f>
        <v>Japan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6.5" customHeight="1">
      <c r="A463" s="6" t="str">
        <f>'Detailed Car List + Stats'!B463</f>
        <v>2020</v>
      </c>
      <c r="B463" s="6" t="str">
        <f>'Detailed Car List + Stats'!C463</f>
        <v>Nissan</v>
      </c>
      <c r="C463" s="6" t="str">
        <f>'Detailed Car List + Stats'!D463</f>
        <v>GT-R Nismo</v>
      </c>
      <c r="D463" s="6" t="str">
        <f>'Detailed Car List + Stats'!E463</f>
        <v>Track Toys</v>
      </c>
      <c r="E463" s="6" t="s">
        <v>53</v>
      </c>
      <c r="F463" s="6" t="str">
        <f>'Detailed Car List + Stats'!G463</f>
        <v>Japan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6.5" customHeight="1">
      <c r="A464" s="6" t="str">
        <f>'Detailed Car List + Stats'!B464</f>
        <v>2024</v>
      </c>
      <c r="B464" s="6" t="str">
        <f>'Detailed Car List + Stats'!C464</f>
        <v>Nissan</v>
      </c>
      <c r="C464" s="6" t="str">
        <f>'Detailed Car List + Stats'!D464</f>
        <v>GT-R Nismo</v>
      </c>
      <c r="D464" s="6" t="str">
        <f>'Detailed Car List + Stats'!E464</f>
        <v>Track Toys</v>
      </c>
      <c r="E464" s="6" t="s">
        <v>53</v>
      </c>
      <c r="F464" s="6" t="str">
        <f>'Detailed Car List + Stats'!G464</f>
        <v>Japan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6.5" customHeight="1">
      <c r="A465" s="6" t="str">
        <f>'Detailed Car List + Stats'!B465</f>
        <v>1995</v>
      </c>
      <c r="B465" s="6" t="str">
        <f>'Detailed Car List + Stats'!C465</f>
        <v>Nissan</v>
      </c>
      <c r="C465" s="6" t="str">
        <f>'Detailed Car List + Stats'!D465</f>
        <v>Nismo GT-R LM</v>
      </c>
      <c r="D465" s="6" t="str">
        <f>'Detailed Car List + Stats'!E465</f>
        <v>Retro Sports Cars</v>
      </c>
      <c r="E465" s="6" t="s">
        <v>35</v>
      </c>
      <c r="F465" s="6" t="str">
        <f>'Detailed Car List + Stats'!G465</f>
        <v>Japan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6.5" customHeight="1">
      <c r="A466" s="6" t="str">
        <f>'Detailed Car List + Stats'!B466</f>
        <v>1989</v>
      </c>
      <c r="B466" s="6" t="str">
        <f>'Detailed Car List + Stats'!C466</f>
        <v>Nissan</v>
      </c>
      <c r="C466" s="6" t="str">
        <f>'Detailed Car List + Stats'!D466</f>
        <v>Pao</v>
      </c>
      <c r="D466" s="6" t="str">
        <f>'Detailed Car List + Stats'!E466</f>
        <v>Eclectic Domestics</v>
      </c>
      <c r="E466" s="6" t="s">
        <v>31</v>
      </c>
      <c r="F466" s="6" t="str">
        <f>'Detailed Car List + Stats'!G466</f>
        <v>Japan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6.5" customHeight="1">
      <c r="A467" s="6" t="str">
        <f>'Detailed Car List + Stats'!B467</f>
        <v>1972</v>
      </c>
      <c r="B467" s="6" t="str">
        <f>'Detailed Car List + Stats'!C467</f>
        <v>Nissan</v>
      </c>
      <c r="C467" s="6" t="str">
        <f>'Detailed Car List + Stats'!D467</f>
        <v>Patrol</v>
      </c>
      <c r="D467" s="6" t="str">
        <f>'Detailed Car List + Stats'!E467</f>
        <v>Offroad</v>
      </c>
      <c r="E467" s="6" t="s">
        <v>31</v>
      </c>
      <c r="F467" s="6" t="str">
        <f>'Detailed Car List + Stats'!G467</f>
        <v>Japan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6.5" customHeight="1">
      <c r="A468" s="6" t="str">
        <f>'Detailed Car List + Stats'!B468</f>
        <v>1990</v>
      </c>
      <c r="B468" s="6" t="str">
        <f>'Detailed Car List + Stats'!C468</f>
        <v>Nissan</v>
      </c>
      <c r="C468" s="6" t="str">
        <f>'Detailed Car List + Stats'!D468</f>
        <v>Pulsar GTI-R</v>
      </c>
      <c r="D468" s="6" t="str">
        <f>'Detailed Car List + Stats'!E468</f>
        <v>Retro Rally</v>
      </c>
      <c r="E468" s="6" t="s">
        <v>28</v>
      </c>
      <c r="F468" s="6" t="str">
        <f>'Detailed Car List + Stats'!G468</f>
        <v>Japan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6.5" customHeight="1">
      <c r="A469" s="6" t="str">
        <f>'Detailed Car List + Stats'!B469</f>
        <v>1998</v>
      </c>
      <c r="B469" s="6" t="str">
        <f>'Detailed Car List + Stats'!C469</f>
        <v>Nissan</v>
      </c>
      <c r="C469" s="6" t="str">
        <f>'Detailed Car List + Stats'!D469</f>
        <v>R390 GT1</v>
      </c>
      <c r="D469" s="6" t="str">
        <f>'Detailed Car List + Stats'!E469</f>
        <v>Retro Supercars</v>
      </c>
      <c r="E469" s="6" t="s">
        <v>53</v>
      </c>
      <c r="F469" s="6" t="str">
        <f>'Detailed Car List + Stats'!G469</f>
        <v>Japan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6.5" customHeight="1">
      <c r="A470" s="6" t="str">
        <f>'Detailed Car List + Stats'!B470</f>
        <v>1989</v>
      </c>
      <c r="B470" s="6" t="str">
        <f>'Detailed Car List + Stats'!C470</f>
        <v>Nissan</v>
      </c>
      <c r="C470" s="6" t="str">
        <f>'Detailed Car List + Stats'!D470</f>
        <v>S-Cargo</v>
      </c>
      <c r="D470" s="6" t="str">
        <f>'Detailed Car List + Stats'!E470</f>
        <v>Eclectic Domestics</v>
      </c>
      <c r="E470" s="6" t="s">
        <v>31</v>
      </c>
      <c r="F470" s="6" t="str">
        <f>'Detailed Car List + Stats'!G470</f>
        <v>Japan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6.5" customHeight="1">
      <c r="A471" s="6" t="str">
        <f>'Detailed Car List + Stats'!B471</f>
        <v>1989</v>
      </c>
      <c r="B471" s="6" t="str">
        <f>'Detailed Car List + Stats'!C471</f>
        <v>Nissan</v>
      </c>
      <c r="C471" s="6" t="str">
        <f>'Detailed Car List + Stats'!D471</f>
        <v>S-Cargo Forza Edition</v>
      </c>
      <c r="D471" s="6" t="str">
        <f>'Detailed Car List + Stats'!E471</f>
        <v>Track Toys</v>
      </c>
      <c r="E471" s="6" t="s">
        <v>53</v>
      </c>
      <c r="F471" s="6" t="str">
        <f>'Detailed Car List + Stats'!G471</f>
        <v>Japan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6.5" customHeight="1">
      <c r="A472" s="6" t="str">
        <f>'Detailed Car List + Stats'!B472</f>
        <v>1985</v>
      </c>
      <c r="B472" s="6" t="str">
        <f>'Detailed Car List + Stats'!C472</f>
        <v>Nissan</v>
      </c>
      <c r="C472" s="6" t="str">
        <f>'Detailed Car List + Stats'!D472</f>
        <v>Safari Turbo</v>
      </c>
      <c r="D472" s="6" t="str">
        <f>'Detailed Car List + Stats'!E472</f>
        <v>Pickups &amp; 4x4s</v>
      </c>
      <c r="E472" s="6" t="s">
        <v>31</v>
      </c>
      <c r="F472" s="6" t="str">
        <f>'Detailed Car List + Stats'!G472</f>
        <v>Japan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6.5" customHeight="1">
      <c r="A473" s="6" t="str">
        <f>'Detailed Car List + Stats'!B473</f>
        <v>1989</v>
      </c>
      <c r="B473" s="6" t="str">
        <f>'Detailed Car List + Stats'!C473</f>
        <v>Nissan</v>
      </c>
      <c r="C473" s="6" t="str">
        <f>'Detailed Car List + Stats'!D473</f>
        <v>Silvia K's</v>
      </c>
      <c r="D473" s="6" t="str">
        <f>'Detailed Car List + Stats'!E473</f>
        <v>Retro Sports Cars</v>
      </c>
      <c r="E473" s="6" t="s">
        <v>28</v>
      </c>
      <c r="F473" s="6" t="str">
        <f>'Detailed Car List + Stats'!G473</f>
        <v>Japan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6.5" customHeight="1">
      <c r="A474" s="6" t="str">
        <f>'Detailed Car List + Stats'!B474</f>
        <v>1994</v>
      </c>
      <c r="B474" s="6" t="str">
        <f>'Detailed Car List + Stats'!C474</f>
        <v>Nissan</v>
      </c>
      <c r="C474" s="6" t="str">
        <f>'Detailed Car List + Stats'!D474</f>
        <v>Silvia K's</v>
      </c>
      <c r="D474" s="6" t="str">
        <f>'Detailed Car List + Stats'!E474</f>
        <v>Retro Sports Cars</v>
      </c>
      <c r="E474" s="6" t="s">
        <v>28</v>
      </c>
      <c r="F474" s="6" t="str">
        <f>'Detailed Car List + Stats'!G474</f>
        <v>Japan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6.5" customHeight="1">
      <c r="A475" s="6" t="str">
        <f>'Detailed Car List + Stats'!B475</f>
        <v>1998</v>
      </c>
      <c r="B475" s="6" t="str">
        <f>'Detailed Car List + Stats'!C475</f>
        <v>Nissan</v>
      </c>
      <c r="C475" s="6" t="str">
        <f>'Detailed Car List + Stats'!D475</f>
        <v>Silvia K's Aero</v>
      </c>
      <c r="D475" s="6" t="str">
        <f>'Detailed Car List + Stats'!E475</f>
        <v>Retro Sports Cars</v>
      </c>
      <c r="E475" s="6" t="s">
        <v>28</v>
      </c>
      <c r="F475" s="6" t="str">
        <f>'Detailed Car List + Stats'!G475</f>
        <v>Japan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6.5" customHeight="1">
      <c r="A476" s="6" t="str">
        <f>'Detailed Car List + Stats'!B476</f>
        <v>2002</v>
      </c>
      <c r="B476" s="6" t="str">
        <f>'Detailed Car List + Stats'!C476</f>
        <v>Nissan</v>
      </c>
      <c r="C476" s="6" t="str">
        <f>'Detailed Car List + Stats'!D476</f>
        <v>Silvia Spec-R</v>
      </c>
      <c r="D476" s="6" t="str">
        <f>'Detailed Car List + Stats'!E476</f>
        <v>Retro Sports Cars</v>
      </c>
      <c r="E476" s="6" t="s">
        <v>35</v>
      </c>
      <c r="F476" s="6" t="str">
        <f>'Detailed Car List + Stats'!G476</f>
        <v>Japan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6.5" customHeight="1">
      <c r="A477" s="6" t="str">
        <f>'Detailed Car List + Stats'!B477</f>
        <v>1983</v>
      </c>
      <c r="B477" s="6" t="str">
        <f>'Detailed Car List + Stats'!C477</f>
        <v>Nissan</v>
      </c>
      <c r="C477" s="6" t="str">
        <f>'Detailed Car List + Stats'!D477</f>
        <v>Skyline 2000 Turbo RS</v>
      </c>
      <c r="D477" s="6" t="str">
        <f>'Detailed Car List + Stats'!E477</f>
        <v>Retro Sports Cars</v>
      </c>
      <c r="E477" s="6" t="s">
        <v>28</v>
      </c>
      <c r="F477" s="6" t="str">
        <f>'Detailed Car List + Stats'!G477</f>
        <v>Japan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6.5" customHeight="1">
      <c r="A478" s="6" t="str">
        <f>'Detailed Car List + Stats'!B478</f>
        <v>1971</v>
      </c>
      <c r="B478" s="6" t="str">
        <f>'Detailed Car List + Stats'!C478</f>
        <v>Nissan</v>
      </c>
      <c r="C478" s="6" t="str">
        <f>'Detailed Car List + Stats'!D478</f>
        <v>Skyline 2000GT-R</v>
      </c>
      <c r="D478" s="6" t="str">
        <f>'Detailed Car List + Stats'!E478</f>
        <v>Classic Sports Cars</v>
      </c>
      <c r="E478" s="6" t="s">
        <v>31</v>
      </c>
      <c r="F478" s="6" t="str">
        <f>'Detailed Car List + Stats'!G478</f>
        <v>Japan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6.5" customHeight="1">
      <c r="A479" s="6" t="str">
        <f>'Detailed Car List + Stats'!B479</f>
        <v>1992</v>
      </c>
      <c r="B479" s="6" t="str">
        <f>'Detailed Car List + Stats'!C479</f>
        <v>Nissan</v>
      </c>
      <c r="C479" s="6" t="str">
        <f>'Detailed Car List + Stats'!D479</f>
        <v>Skyline GT-R</v>
      </c>
      <c r="D479" s="6" t="str">
        <f>'Detailed Car List + Stats'!E479</f>
        <v>Retro Sports Cars</v>
      </c>
      <c r="E479" s="6" t="s">
        <v>35</v>
      </c>
      <c r="F479" s="6" t="str">
        <f>'Detailed Car List + Stats'!G479</f>
        <v>Japan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6.5" customHeight="1">
      <c r="A480" s="6" t="str">
        <f>'Detailed Car List + Stats'!B480</f>
        <v>1998</v>
      </c>
      <c r="B480" s="6" t="str">
        <f>'Detailed Car List + Stats'!C480</f>
        <v>Nissan</v>
      </c>
      <c r="C480" s="6" t="str">
        <f>'Detailed Car List + Stats'!D480</f>
        <v>Skyline GT-R 40th Anniversary</v>
      </c>
      <c r="D480" s="6" t="str">
        <f>'Detailed Car List + Stats'!E480</f>
        <v>Retro Sports Cars</v>
      </c>
      <c r="E480" s="6" t="s">
        <v>35</v>
      </c>
      <c r="F480" s="6" t="str">
        <f>'Detailed Car List + Stats'!G480</f>
        <v>Japan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6.5" customHeight="1">
      <c r="A481" s="6" t="str">
        <f>'Detailed Car List + Stats'!B481</f>
        <v>2000</v>
      </c>
      <c r="B481" s="6" t="str">
        <f>'Detailed Car List + Stats'!C481</f>
        <v>Nissan</v>
      </c>
      <c r="C481" s="6" t="str">
        <f>'Detailed Car List + Stats'!D481</f>
        <v>Skyline GT-R V Spec II</v>
      </c>
      <c r="D481" s="6" t="str">
        <f>'Detailed Car List + Stats'!E481</f>
        <v>Retro Sports Cars</v>
      </c>
      <c r="E481" s="6" t="s">
        <v>35</v>
      </c>
      <c r="F481" s="6" t="str">
        <f>'Detailed Car List + Stats'!G481</f>
        <v>Japan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6.5" customHeight="1">
      <c r="A482" s="6" t="str">
        <f>'Detailed Car List + Stats'!B482</f>
        <v>1997</v>
      </c>
      <c r="B482" s="6" t="str">
        <f>'Detailed Car List + Stats'!C482</f>
        <v>Nissan</v>
      </c>
      <c r="C482" s="6" t="str">
        <f>'Detailed Car List + Stats'!D482</f>
        <v>Skyline GT-R V-Spec</v>
      </c>
      <c r="D482" s="6" t="str">
        <f>'Detailed Car List + Stats'!E482</f>
        <v>Retro Sports Cars</v>
      </c>
      <c r="E482" s="6" t="s">
        <v>35</v>
      </c>
      <c r="F482" s="6" t="str">
        <f>'Detailed Car List + Stats'!G482</f>
        <v>Japan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6.5" customHeight="1">
      <c r="A483" s="6" t="str">
        <f>'Detailed Car List + Stats'!B483</f>
        <v>1987</v>
      </c>
      <c r="B483" s="6" t="str">
        <f>'Detailed Car List + Stats'!C483</f>
        <v>Nissan</v>
      </c>
      <c r="C483" s="6" t="str">
        <f>'Detailed Car List + Stats'!D483</f>
        <v>Skyline GTS-R</v>
      </c>
      <c r="D483" s="6" t="str">
        <f>'Detailed Car List + Stats'!E483</f>
        <v>Retro Sports Cars</v>
      </c>
      <c r="E483" s="6" t="s">
        <v>28</v>
      </c>
      <c r="F483" s="6" t="str">
        <f>'Detailed Car List + Stats'!G483</f>
        <v>Japan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6.5" customHeight="1">
      <c r="A484" s="6" t="str">
        <f>'Detailed Car List + Stats'!B484</f>
        <v>1973</v>
      </c>
      <c r="B484" s="6" t="str">
        <f>'Detailed Car List + Stats'!C484</f>
        <v>Nissan</v>
      </c>
      <c r="C484" s="6" t="str">
        <f>'Detailed Car List + Stats'!D484</f>
        <v>Skyline H/T 2000GT-R</v>
      </c>
      <c r="D484" s="6" t="str">
        <f>'Detailed Car List + Stats'!E484</f>
        <v>Classic Sports Cars</v>
      </c>
      <c r="E484" s="6" t="s">
        <v>28</v>
      </c>
      <c r="F484" s="6" t="str">
        <f>'Detailed Car List + Stats'!G484</f>
        <v>Japan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6.5" customHeight="1">
      <c r="A485" s="6" t="str">
        <f>'Detailed Car List + Stats'!B485</f>
        <v>1997</v>
      </c>
      <c r="B485" s="6" t="str">
        <f>'Detailed Car List + Stats'!C485</f>
        <v>Nissan</v>
      </c>
      <c r="C485" s="6" t="str">
        <f>'Detailed Car List + Stats'!D485</f>
        <v>Stagea RS Four V</v>
      </c>
      <c r="D485" s="6" t="str">
        <f>'Detailed Car List + Stats'!E485</f>
        <v>Retro Super Saloons</v>
      </c>
      <c r="E485" s="6" t="s">
        <v>28</v>
      </c>
      <c r="F485" s="6" t="str">
        <f>'Detailed Car List + Stats'!G485</f>
        <v>Japan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6.5" customHeight="1">
      <c r="A486" s="6" t="str">
        <f>'Detailed Car List + Stats'!B486</f>
        <v>2024</v>
      </c>
      <c r="B486" s="6" t="str">
        <f>'Detailed Car List + Stats'!C486</f>
        <v>Nissan</v>
      </c>
      <c r="C486" s="6" t="str">
        <f>'Detailed Car List + Stats'!D486</f>
        <v>Z Nismo</v>
      </c>
      <c r="D486" s="6" t="str">
        <f>'Detailed Car List + Stats'!E486</f>
        <v>Modern Sports Cars</v>
      </c>
      <c r="E486" s="6" t="s">
        <v>78</v>
      </c>
      <c r="F486" s="6" t="str">
        <f>'Detailed Car List + Stats'!G486</f>
        <v>Japan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6.5" customHeight="1">
      <c r="A487" s="6" t="str">
        <f>'Detailed Car List + Stats'!B487</f>
        <v>2010</v>
      </c>
      <c r="B487" s="6" t="str">
        <f>'Detailed Car List + Stats'!C487</f>
        <v>Noble</v>
      </c>
      <c r="C487" s="6" t="str">
        <f>'Detailed Car List + Stats'!D487</f>
        <v>M600</v>
      </c>
      <c r="D487" s="6" t="str">
        <f>'Detailed Car List + Stats'!E487</f>
        <v>Modern Supercars</v>
      </c>
      <c r="E487" s="6" t="s">
        <v>53</v>
      </c>
      <c r="F487" s="6" t="str">
        <f>'Detailed Car List + Stats'!G487</f>
        <v>UK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6.5" customHeight="1">
      <c r="A488" s="6" t="str">
        <f>'Detailed Car List + Stats'!B488</f>
        <v>1984</v>
      </c>
      <c r="B488" s="6" t="str">
        <f>'Detailed Car List + Stats'!C488</f>
        <v>Opel</v>
      </c>
      <c r="C488" s="6" t="str">
        <f>'Detailed Car List + Stats'!D488</f>
        <v>Manta 400</v>
      </c>
      <c r="D488" s="6" t="str">
        <f>'Detailed Car List + Stats'!E488</f>
        <v>Rally Monsters</v>
      </c>
      <c r="E488" s="6" t="s">
        <v>35</v>
      </c>
      <c r="F488" s="6" t="str">
        <f>'Detailed Car List + Stats'!G488</f>
        <v>Germany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6.5" customHeight="1">
      <c r="A489" s="6" t="str">
        <f>'Detailed Car List + Stats'!B489</f>
        <v>2016</v>
      </c>
      <c r="B489" s="6" t="str">
        <f>'Detailed Car List + Stats'!C489</f>
        <v>Pagani</v>
      </c>
      <c r="C489" s="6" t="str">
        <f>'Detailed Car List + Stats'!D489</f>
        <v>Huayra BC Coupe</v>
      </c>
      <c r="D489" s="6" t="str">
        <f>'Detailed Car List + Stats'!E489</f>
        <v>Hypercars</v>
      </c>
      <c r="E489" s="6" t="s">
        <v>138</v>
      </c>
      <c r="F489" s="6" t="str">
        <f>'Detailed Car List + Stats'!G489</f>
        <v>Italy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6.5" customHeight="1">
      <c r="A490" s="6" t="str">
        <f>'Detailed Car List + Stats'!B490</f>
        <v>2021</v>
      </c>
      <c r="B490" s="6" t="str">
        <f>'Detailed Car List + Stats'!C490</f>
        <v>Pagani</v>
      </c>
      <c r="C490" s="6" t="str">
        <f>'Detailed Car List + Stats'!D490</f>
        <v>Huayra R</v>
      </c>
      <c r="D490" s="6" t="str">
        <f>'Detailed Car List + Stats'!E490</f>
        <v>Extreme Track Toys</v>
      </c>
      <c r="E490" s="6" t="s">
        <v>108</v>
      </c>
      <c r="F490" s="6" t="str">
        <f>'Detailed Car List + Stats'!G490</f>
        <v>Italy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6.5" customHeight="1">
      <c r="A491" s="6" t="str">
        <f>'Detailed Car List + Stats'!B491</f>
        <v>2010</v>
      </c>
      <c r="B491" s="6" t="str">
        <f>'Detailed Car List + Stats'!C491</f>
        <v>Pagani</v>
      </c>
      <c r="C491" s="6" t="str">
        <f>'Detailed Car List + Stats'!D491</f>
        <v>Zonda Cinque Roadster</v>
      </c>
      <c r="D491" s="6" t="str">
        <f>'Detailed Car List + Stats'!E491</f>
        <v>Hypercars</v>
      </c>
      <c r="E491" s="6" t="s">
        <v>138</v>
      </c>
      <c r="F491" s="6" t="str">
        <f>'Detailed Car List + Stats'!G491</f>
        <v>Italy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6.5" customHeight="1">
      <c r="A492" s="6" t="str">
        <f>'Detailed Car List + Stats'!B492</f>
        <v>2009</v>
      </c>
      <c r="B492" s="6" t="str">
        <f>'Detailed Car List + Stats'!C492</f>
        <v>Pagani</v>
      </c>
      <c r="C492" s="6" t="str">
        <f>'Detailed Car List + Stats'!D492</f>
        <v>Zonda R</v>
      </c>
      <c r="D492" s="6" t="str">
        <f>'Detailed Car List + Stats'!E492</f>
        <v>Extreme Track Toys</v>
      </c>
      <c r="E492" s="6" t="s">
        <v>108</v>
      </c>
      <c r="F492" s="6" t="str">
        <f>'Detailed Car List + Stats'!G492</f>
        <v>Italy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6.5" customHeight="1">
      <c r="A493" s="6" t="str">
        <f>'Detailed Car List + Stats'!B493</f>
        <v>1962</v>
      </c>
      <c r="B493" s="6" t="str">
        <f>'Detailed Car List + Stats'!C493</f>
        <v>Peel</v>
      </c>
      <c r="C493" s="6" t="str">
        <f>'Detailed Car List + Stats'!D493</f>
        <v>P50</v>
      </c>
      <c r="D493" s="6" t="str">
        <f>'Detailed Car List + Stats'!E493</f>
        <v>Cult Cars</v>
      </c>
      <c r="E493" s="6" t="s">
        <v>31</v>
      </c>
      <c r="F493" s="6" t="str">
        <f>'Detailed Car List + Stats'!G493</f>
        <v>UK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6.5" customHeight="1">
      <c r="A494" s="6" t="str">
        <f>'Detailed Car List + Stats'!B494</f>
        <v>1962</v>
      </c>
      <c r="B494" s="6" t="str">
        <f>'Detailed Car List + Stats'!C494</f>
        <v>Peel</v>
      </c>
      <c r="C494" s="6" t="str">
        <f>'Detailed Car List + Stats'!D494</f>
        <v>P50 Trolli Edition</v>
      </c>
      <c r="D494" s="6" t="str">
        <f>'Detailed Car List + Stats'!E494</f>
        <v>Cult Cars</v>
      </c>
      <c r="E494" s="6" t="s">
        <v>31</v>
      </c>
      <c r="F494" s="6" t="str">
        <f>'Detailed Car List + Stats'!G494</f>
        <v>UK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6.5" customHeight="1">
      <c r="A495" s="6" t="str">
        <f>'Detailed Car List + Stats'!B495</f>
        <v>2011</v>
      </c>
      <c r="B495" s="6" t="str">
        <f>'Detailed Car List + Stats'!C495</f>
        <v>Penhall</v>
      </c>
      <c r="C495" s="6" t="str">
        <f>'Detailed Car List + Stats'!D495</f>
        <v>The Cholla</v>
      </c>
      <c r="D495" s="6" t="str">
        <f>'Detailed Car List + Stats'!E495</f>
        <v>Unlimited Buggies</v>
      </c>
      <c r="E495" s="6" t="s">
        <v>35</v>
      </c>
      <c r="F495" s="6" t="str">
        <f>'Detailed Car List + Stats'!G495</f>
        <v>USA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6.5" customHeight="1">
      <c r="A496" s="6" t="str">
        <f>'Detailed Car List + Stats'!B496</f>
        <v>1991</v>
      </c>
      <c r="B496" s="6" t="str">
        <f>'Detailed Car List + Stats'!C496</f>
        <v>Peugeot</v>
      </c>
      <c r="C496" s="6" t="str">
        <f>'Detailed Car List + Stats'!D496</f>
        <v>205 Rallye</v>
      </c>
      <c r="D496" s="6" t="str">
        <f>'Detailed Car List + Stats'!E496</f>
        <v>Retro Hot Hatch</v>
      </c>
      <c r="E496" s="6" t="s">
        <v>31</v>
      </c>
      <c r="F496" s="6" t="str">
        <f>'Detailed Car List + Stats'!G496</f>
        <v>France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6.5" customHeight="1">
      <c r="A497" s="6" t="str">
        <f>'Detailed Car List + Stats'!B497</f>
        <v>1984</v>
      </c>
      <c r="B497" s="6" t="str">
        <f>'Detailed Car List + Stats'!C497</f>
        <v>Peugeot</v>
      </c>
      <c r="C497" s="6" t="str">
        <f>'Detailed Car List + Stats'!D497</f>
        <v>205 Turbo 16</v>
      </c>
      <c r="D497" s="6" t="str">
        <f>'Detailed Car List + Stats'!E497</f>
        <v>Retro Rally</v>
      </c>
      <c r="E497" s="6" t="s">
        <v>28</v>
      </c>
      <c r="F497" s="6" t="str">
        <f>'Detailed Car List + Stats'!G497</f>
        <v>France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6.5" customHeight="1">
      <c r="A498" s="6" t="str">
        <f>'Detailed Car List + Stats'!B498</f>
        <v>2007</v>
      </c>
      <c r="B498" s="6" t="str">
        <f>'Detailed Car List + Stats'!C498</f>
        <v>Peugeot</v>
      </c>
      <c r="C498" s="6" t="str">
        <f>'Detailed Car List + Stats'!D498</f>
        <v>207 Super 2000</v>
      </c>
      <c r="D498" s="6" t="str">
        <f>'Detailed Car List + Stats'!E498</f>
        <v>Rally Monsters</v>
      </c>
      <c r="E498" s="6" t="s">
        <v>78</v>
      </c>
      <c r="F498" s="6" t="str">
        <f>'Detailed Car List + Stats'!G498</f>
        <v>France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6.5" customHeight="1">
      <c r="A499" s="6" t="str">
        <f>'Detailed Car List + Stats'!B499</f>
        <v>1968</v>
      </c>
      <c r="B499" s="6" t="str">
        <f>'Detailed Car List + Stats'!C499</f>
        <v>Plymouth</v>
      </c>
      <c r="C499" s="6" t="str">
        <f>'Detailed Car List + Stats'!D499</f>
        <v>Barracuda Formula S</v>
      </c>
      <c r="D499" s="6" t="str">
        <f>'Detailed Car List + Stats'!E499</f>
        <v>Classic Muscle</v>
      </c>
      <c r="E499" s="6" t="s">
        <v>28</v>
      </c>
      <c r="F499" s="6" t="str">
        <f>'Detailed Car List + Stats'!G499</f>
        <v>USA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6.5" customHeight="1">
      <c r="A500" s="6" t="str">
        <f>'Detailed Car List + Stats'!B500</f>
        <v>1971</v>
      </c>
      <c r="B500" s="6" t="str">
        <f>'Detailed Car List + Stats'!C500</f>
        <v>Plymouth</v>
      </c>
      <c r="C500" s="6" t="str">
        <f>'Detailed Car List + Stats'!D500</f>
        <v>Cuda 426 HEMI</v>
      </c>
      <c r="D500" s="6" t="str">
        <f>'Detailed Car List + Stats'!E500</f>
        <v>Classic Muscle</v>
      </c>
      <c r="E500" s="6" t="s">
        <v>28</v>
      </c>
      <c r="F500" s="6" t="str">
        <f>'Detailed Car List + Stats'!G500</f>
        <v>USA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6.5" customHeight="1">
      <c r="A501" s="6" t="str">
        <f>'Detailed Car List + Stats'!B501</f>
        <v>1958</v>
      </c>
      <c r="B501" s="6" t="str">
        <f>'Detailed Car List + Stats'!C501</f>
        <v>Plymouth</v>
      </c>
      <c r="C501" s="6" t="str">
        <f>'Detailed Car List + Stats'!D501</f>
        <v>Fury</v>
      </c>
      <c r="D501" s="6" t="str">
        <f>'Detailed Car List + Stats'!E501</f>
        <v>Rods &amp; Customs</v>
      </c>
      <c r="E501" s="6" t="s">
        <v>31</v>
      </c>
      <c r="F501" s="6" t="str">
        <f>'Detailed Car List + Stats'!G501</f>
        <v>USA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6.5" customHeight="1">
      <c r="A502" s="6" t="str">
        <f>'Detailed Car List + Stats'!B502</f>
        <v>2021</v>
      </c>
      <c r="B502" s="6" t="str">
        <f>'Detailed Car List + Stats'!C502</f>
        <v>Polaris</v>
      </c>
      <c r="C502" s="6" t="str">
        <f>'Detailed Car List + Stats'!D502</f>
        <v>RZR Pro XP Factory Racing Limited Edition</v>
      </c>
      <c r="D502" s="6" t="str">
        <f>'Detailed Car List + Stats'!E502</f>
        <v>UTVs</v>
      </c>
      <c r="E502" s="6" t="s">
        <v>28</v>
      </c>
      <c r="F502" s="6" t="str">
        <f>'Detailed Car List + Stats'!G502</f>
        <v>USA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6.5" customHeight="1">
      <c r="A503" s="6" t="str">
        <f>'Detailed Car List + Stats'!B503</f>
        <v>2021</v>
      </c>
      <c r="B503" s="6" t="str">
        <f>'Detailed Car List + Stats'!C503</f>
        <v>Polaris</v>
      </c>
      <c r="C503" s="6" t="str">
        <f>'Detailed Car List + Stats'!D503</f>
        <v>RZR Pro XP Ultimate</v>
      </c>
      <c r="D503" s="6" t="str">
        <f>'Detailed Car List + Stats'!E503</f>
        <v>UTVs</v>
      </c>
      <c r="E503" s="6" t="s">
        <v>28</v>
      </c>
      <c r="F503" s="6" t="str">
        <f>'Detailed Car List + Stats'!G503</f>
        <v>USA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6.5" customHeight="1">
      <c r="A504" s="6" t="str">
        <f>'Detailed Car List + Stats'!B504</f>
        <v>1977</v>
      </c>
      <c r="B504" s="6" t="str">
        <f>'Detailed Car List + Stats'!C504</f>
        <v>Pontiac</v>
      </c>
      <c r="C504" s="6" t="str">
        <f>'Detailed Car List + Stats'!D504</f>
        <v>Firebird Trans Am</v>
      </c>
      <c r="D504" s="6" t="str">
        <f>'Detailed Car List + Stats'!E504</f>
        <v>Classic Muscle</v>
      </c>
      <c r="E504" s="6" t="s">
        <v>31</v>
      </c>
      <c r="F504" s="6" t="str">
        <f>'Detailed Car List + Stats'!G504</f>
        <v>USA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6.5" customHeight="1">
      <c r="A505" s="6" t="str">
        <f>'Detailed Car List + Stats'!B505</f>
        <v>1987</v>
      </c>
      <c r="B505" s="6" t="str">
        <f>'Detailed Car List + Stats'!C505</f>
        <v>Pontiac</v>
      </c>
      <c r="C505" s="6" t="str">
        <f>'Detailed Car List + Stats'!D505</f>
        <v>Firebird Trans Am GTA</v>
      </c>
      <c r="D505" s="6" t="str">
        <f>'Detailed Car List + Stats'!E505</f>
        <v>Retro Muscle</v>
      </c>
      <c r="E505" s="6" t="s">
        <v>31</v>
      </c>
      <c r="F505" s="6" t="str">
        <f>'Detailed Car List + Stats'!G505</f>
        <v>USA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6.5" customHeight="1">
      <c r="A506" s="6" t="str">
        <f>'Detailed Car List + Stats'!B506</f>
        <v>1985</v>
      </c>
      <c r="B506" s="6" t="str">
        <f>'Detailed Car List + Stats'!C506</f>
        <v>Porsche</v>
      </c>
      <c r="C506" s="6" t="str">
        <f>'Detailed Car List + Stats'!D506</f>
        <v>#185 959 Prodrive Rally Raid</v>
      </c>
      <c r="D506" s="6" t="str">
        <f>'Detailed Car List + Stats'!E506</f>
        <v>Rally Monsters</v>
      </c>
      <c r="E506" s="6" t="s">
        <v>78</v>
      </c>
      <c r="F506" s="6" t="str">
        <f>'Detailed Car List + Stats'!G506</f>
        <v>Germany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6.5" customHeight="1">
      <c r="A507" s="6" t="str">
        <f>'Detailed Car List + Stats'!B507</f>
        <v>1987</v>
      </c>
      <c r="B507" s="6" t="str">
        <f>'Detailed Car List + Stats'!C507</f>
        <v>Porsche</v>
      </c>
      <c r="C507" s="6" t="str">
        <f>'Detailed Car List + Stats'!D507</f>
        <v>#203 Porsche AG 961</v>
      </c>
      <c r="D507" s="6" t="str">
        <f>'Detailed Car List + Stats'!E507</f>
        <v>Retro Racers</v>
      </c>
      <c r="E507" s="6" t="s">
        <v>138</v>
      </c>
      <c r="F507" s="6" t="str">
        <f>'Detailed Car List + Stats'!G507</f>
        <v>Germany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6.5" customHeight="1">
      <c r="A508" s="6" t="str">
        <f>'Detailed Car List + Stats'!B508</f>
        <v>1970</v>
      </c>
      <c r="B508" s="6" t="str">
        <f>'Detailed Car List + Stats'!C508</f>
        <v>Porsche</v>
      </c>
      <c r="C508" s="6" t="str">
        <f>'Detailed Car List + Stats'!D508</f>
        <v>#3 917 LH</v>
      </c>
      <c r="D508" s="6" t="str">
        <f>'Detailed Car List + Stats'!E508</f>
        <v>Classic Racers</v>
      </c>
      <c r="E508" s="6" t="s">
        <v>53</v>
      </c>
      <c r="F508" s="6" t="str">
        <f>'Detailed Car List + Stats'!G508</f>
        <v>Germany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6.5" customHeight="1">
      <c r="A509" s="6" t="str">
        <f>'Detailed Car List + Stats'!B509</f>
        <v>1970</v>
      </c>
      <c r="B509" s="6" t="str">
        <f>'Detailed Car List + Stats'!C509</f>
        <v>Porsche</v>
      </c>
      <c r="C509" s="6" t="str">
        <f>'Detailed Car List + Stats'!D509</f>
        <v>#3 917 LH Forza Edition</v>
      </c>
      <c r="D509" s="6" t="str">
        <f>'Detailed Car List + Stats'!E509</f>
        <v>Extreme Track Toys</v>
      </c>
      <c r="E509" s="6" t="s">
        <v>108</v>
      </c>
      <c r="F509" s="6" t="str">
        <f>'Detailed Car List + Stats'!G509</f>
        <v>Germany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6.5" customHeight="1">
      <c r="A510" s="6" t="str">
        <f>'Detailed Car List + Stats'!B510</f>
        <v>2019</v>
      </c>
      <c r="B510" s="6" t="str">
        <f>'Detailed Car List + Stats'!C510</f>
        <v>Porsche</v>
      </c>
      <c r="C510" s="6" t="str">
        <f>'Detailed Car List + Stats'!D510</f>
        <v>#70 Motorsport 935</v>
      </c>
      <c r="D510" s="6" t="str">
        <f>'Detailed Car List + Stats'!E510</f>
        <v>Extreme Track Toys</v>
      </c>
      <c r="E510" s="6" t="s">
        <v>138</v>
      </c>
      <c r="F510" s="6" t="str">
        <f>'Detailed Car List + Stats'!G510</f>
        <v>Germany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6.5" customHeight="1">
      <c r="A511" s="6" t="str">
        <f>'Detailed Car List + Stats'!B511</f>
        <v>2022</v>
      </c>
      <c r="B511" s="6" t="str">
        <f>'Detailed Car List + Stats'!C511</f>
        <v>Porsche</v>
      </c>
      <c r="C511" s="6" t="str">
        <f>'Detailed Car List + Stats'!D511</f>
        <v>718 Cayman GT4 RS</v>
      </c>
      <c r="D511" s="6" t="str">
        <f>'Detailed Car List + Stats'!E511</f>
        <v>Track Toys</v>
      </c>
      <c r="E511" s="6" t="s">
        <v>53</v>
      </c>
      <c r="F511" s="6" t="str">
        <f>'Detailed Car List + Stats'!G511</f>
        <v>Germany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6.5" customHeight="1">
      <c r="A512" s="6" t="str">
        <f>'Detailed Car List + Stats'!B512</f>
        <v>2018</v>
      </c>
      <c r="B512" s="6" t="str">
        <f>'Detailed Car List + Stats'!C512</f>
        <v>Porsche</v>
      </c>
      <c r="C512" s="6" t="str">
        <f>'Detailed Car List + Stats'!D512</f>
        <v>718 Cayman GTS</v>
      </c>
      <c r="D512" s="6" t="str">
        <f>'Detailed Car List + Stats'!E512</f>
        <v>Modern Sports Cars</v>
      </c>
      <c r="E512" s="6" t="s">
        <v>78</v>
      </c>
      <c r="F512" s="6" t="str">
        <f>'Detailed Car List + Stats'!G512</f>
        <v>Germany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6.5" customHeight="1">
      <c r="A513" s="6" t="str">
        <f>'Detailed Car List + Stats'!B513</f>
        <v>1973</v>
      </c>
      <c r="B513" s="6" t="str">
        <f>'Detailed Car List + Stats'!C513</f>
        <v>Porsche</v>
      </c>
      <c r="C513" s="6" t="str">
        <f>'Detailed Car List + Stats'!D513</f>
        <v>911 Carrera RS</v>
      </c>
      <c r="D513" s="6" t="str">
        <f>'Detailed Car List + Stats'!E513</f>
        <v>Rare Classics</v>
      </c>
      <c r="E513" s="6" t="s">
        <v>28</v>
      </c>
      <c r="F513" s="6" t="str">
        <f>'Detailed Car List + Stats'!G513</f>
        <v>Germany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6.5" customHeight="1">
      <c r="A514" s="6" t="str">
        <f>'Detailed Car List + Stats'!B514</f>
        <v>2019</v>
      </c>
      <c r="B514" s="6" t="str">
        <f>'Detailed Car List + Stats'!C514</f>
        <v>Porsche</v>
      </c>
      <c r="C514" s="6" t="str">
        <f>'Detailed Car List + Stats'!D514</f>
        <v>911 Carrera S</v>
      </c>
      <c r="D514" s="6" t="str">
        <f>'Detailed Car List + Stats'!E514</f>
        <v>Modern Sports Cars</v>
      </c>
      <c r="E514" s="6" t="s">
        <v>53</v>
      </c>
      <c r="F514" s="6" t="str">
        <f>'Detailed Car List + Stats'!G514</f>
        <v>Germany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6.5" customHeight="1">
      <c r="A515" s="6" t="str">
        <f>'Detailed Car List + Stats'!B515</f>
        <v>1997</v>
      </c>
      <c r="B515" s="6" t="str">
        <f>'Detailed Car List + Stats'!C515</f>
        <v>Porsche</v>
      </c>
      <c r="C515" s="6" t="str">
        <f>'Detailed Car List + Stats'!D515</f>
        <v>911 GT1 Strassenversion</v>
      </c>
      <c r="D515" s="6" t="str">
        <f>'Detailed Car List + Stats'!E515</f>
        <v>Retro Supercars</v>
      </c>
      <c r="E515" s="6" t="s">
        <v>53</v>
      </c>
      <c r="F515" s="6" t="str">
        <f>'Detailed Car List + Stats'!G515</f>
        <v>Germany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6.5" customHeight="1">
      <c r="A516" s="6" t="str">
        <f>'Detailed Car List + Stats'!B516</f>
        <v>1995</v>
      </c>
      <c r="B516" s="6" t="str">
        <f>'Detailed Car List + Stats'!C516</f>
        <v>Porsche</v>
      </c>
      <c r="C516" s="6" t="str">
        <f>'Detailed Car List + Stats'!D516</f>
        <v>911 GT2</v>
      </c>
      <c r="D516" s="6" t="str">
        <f>'Detailed Car List + Stats'!E516</f>
        <v>Retro Supercars</v>
      </c>
      <c r="E516" s="6" t="s">
        <v>78</v>
      </c>
      <c r="F516" s="6" t="str">
        <f>'Detailed Car List + Stats'!G516</f>
        <v>Germany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6.5" customHeight="1">
      <c r="A517" s="6" t="str">
        <f>'Detailed Car List + Stats'!B517</f>
        <v>2018</v>
      </c>
      <c r="B517" s="6" t="str">
        <f>'Detailed Car List + Stats'!C517</f>
        <v>Porsche</v>
      </c>
      <c r="C517" s="6" t="str">
        <f>'Detailed Car List + Stats'!D517</f>
        <v>911 GT2 RS</v>
      </c>
      <c r="D517" s="6" t="str">
        <f>'Detailed Car List + Stats'!E517</f>
        <v>Track Toys</v>
      </c>
      <c r="E517" s="6" t="s">
        <v>138</v>
      </c>
      <c r="F517" s="6" t="str">
        <f>'Detailed Car List + Stats'!G517</f>
        <v>Germany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6.5" customHeight="1">
      <c r="A518" s="6" t="str">
        <f>'Detailed Car List + Stats'!B518</f>
        <v>2004</v>
      </c>
      <c r="B518" s="6" t="str">
        <f>'Detailed Car List + Stats'!C518</f>
        <v>Porsche</v>
      </c>
      <c r="C518" s="6" t="str">
        <f>'Detailed Car List + Stats'!D518</f>
        <v>911 GT3</v>
      </c>
      <c r="D518" s="6" t="str">
        <f>'Detailed Car List + Stats'!E518</f>
        <v>Retro Supercars</v>
      </c>
      <c r="E518" s="6" t="s">
        <v>78</v>
      </c>
      <c r="F518" s="6" t="str">
        <f>'Detailed Car List + Stats'!G518</f>
        <v>Germany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6.5" customHeight="1">
      <c r="A519" s="6" t="str">
        <f>'Detailed Car List + Stats'!B519</f>
        <v>2021</v>
      </c>
      <c r="B519" s="6" t="str">
        <f>'Detailed Car List + Stats'!C519</f>
        <v>Porsche</v>
      </c>
      <c r="C519" s="6" t="str">
        <f>'Detailed Car List + Stats'!D519</f>
        <v>911 GT3</v>
      </c>
      <c r="D519" s="6" t="str">
        <f>'Detailed Car List + Stats'!E519</f>
        <v>Track Toys</v>
      </c>
      <c r="E519" s="6" t="s">
        <v>53</v>
      </c>
      <c r="F519" s="6" t="str">
        <f>'Detailed Car List + Stats'!G519</f>
        <v>Germany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6.5" customHeight="1">
      <c r="A520" s="6" t="str">
        <f>'Detailed Car List + Stats'!B520</f>
        <v>2019</v>
      </c>
      <c r="B520" s="6" t="str">
        <f>'Detailed Car List + Stats'!C520</f>
        <v>Porsche</v>
      </c>
      <c r="C520" s="6" t="str">
        <f>'Detailed Car List + Stats'!D520</f>
        <v>911 GT3 RS</v>
      </c>
      <c r="D520" s="6" t="str">
        <f>'Detailed Car List + Stats'!E520</f>
        <v>Track Toys</v>
      </c>
      <c r="E520" s="6" t="s">
        <v>53</v>
      </c>
      <c r="F520" s="6" t="str">
        <f>'Detailed Car List + Stats'!G520</f>
        <v>Germany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6.5" customHeight="1">
      <c r="A521" s="6" t="str">
        <f>'Detailed Car List + Stats'!B521</f>
        <v>2023</v>
      </c>
      <c r="B521" s="6" t="str">
        <f>'Detailed Car List + Stats'!C521</f>
        <v>Porsche</v>
      </c>
      <c r="C521" s="6" t="str">
        <f>'Detailed Car List + Stats'!D521</f>
        <v>911 GT3 RS</v>
      </c>
      <c r="D521" s="6" t="str">
        <f>'Detailed Car List + Stats'!E521</f>
        <v>Track Toys</v>
      </c>
      <c r="E521" s="6" t="s">
        <v>53</v>
      </c>
      <c r="F521" s="6" t="str">
        <f>'Detailed Car List + Stats'!G521</f>
        <v>Germany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6.5" customHeight="1">
      <c r="A522" s="6" t="str">
        <f>'Detailed Car List + Stats'!B522</f>
        <v>2012</v>
      </c>
      <c r="B522" s="6" t="str">
        <f>'Detailed Car List + Stats'!C522</f>
        <v>Porsche</v>
      </c>
      <c r="C522" s="6" t="str">
        <f>'Detailed Car List + Stats'!D522</f>
        <v>911 GT3 RS 4.0</v>
      </c>
      <c r="D522" s="6" t="str">
        <f>'Detailed Car List + Stats'!E522</f>
        <v>Track Toys</v>
      </c>
      <c r="E522" s="6" t="s">
        <v>53</v>
      </c>
      <c r="F522" s="6" t="str">
        <f>'Detailed Car List + Stats'!G522</f>
        <v>Germany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6.5" customHeight="1">
      <c r="A523" s="6" t="str">
        <f>'Detailed Car List + Stats'!B523</f>
        <v>2023</v>
      </c>
      <c r="B523" s="6" t="str">
        <f>'Detailed Car List + Stats'!C523</f>
        <v>Porsche</v>
      </c>
      <c r="C523" s="6" t="str">
        <f>'Detailed Car List + Stats'!D523</f>
        <v>911 Rallye</v>
      </c>
      <c r="D523" s="6" t="str">
        <f>'Detailed Car List + Stats'!E523</f>
        <v>Rally Monsters</v>
      </c>
      <c r="E523" s="6" t="s">
        <v>78</v>
      </c>
      <c r="F523" s="6" t="str">
        <f>'Detailed Car List + Stats'!G523</f>
        <v>Germany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6.5" customHeight="1">
      <c r="A524" s="6" t="str">
        <f>'Detailed Car List + Stats'!B524</f>
        <v>1982</v>
      </c>
      <c r="B524" s="6" t="str">
        <f>'Detailed Car List + Stats'!C524</f>
        <v>Porsche</v>
      </c>
      <c r="C524" s="6" t="str">
        <f>'Detailed Car List + Stats'!D524</f>
        <v>911 Turbo 3.3</v>
      </c>
      <c r="D524" s="6" t="str">
        <f>'Detailed Car List + Stats'!E524</f>
        <v>Retro Supercars</v>
      </c>
      <c r="E524" s="6" t="s">
        <v>35</v>
      </c>
      <c r="F524" s="6" t="str">
        <f>'Detailed Car List + Stats'!G524</f>
        <v>Germany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6.5" customHeight="1">
      <c r="A525" s="6" t="str">
        <f>'Detailed Car List + Stats'!B525</f>
        <v>2023</v>
      </c>
      <c r="B525" s="6" t="str">
        <f>'Detailed Car List + Stats'!C525</f>
        <v>Porsche</v>
      </c>
      <c r="C525" s="6" t="str">
        <f>'Detailed Car List + Stats'!D525</f>
        <v>911 Turbo S</v>
      </c>
      <c r="D525" s="6" t="str">
        <f>'Detailed Car List + Stats'!E525</f>
        <v>Modern Supercars</v>
      </c>
      <c r="E525" s="6" t="s">
        <v>53</v>
      </c>
      <c r="F525" s="6" t="str">
        <f>'Detailed Car List + Stats'!G525</f>
        <v>Germany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6.5" customHeight="1">
      <c r="A526" s="6" t="str">
        <f>'Detailed Car List + Stats'!B526</f>
        <v>1993</v>
      </c>
      <c r="B526" s="6" t="str">
        <f>'Detailed Car List + Stats'!C526</f>
        <v>Porsche</v>
      </c>
      <c r="C526" s="6" t="str">
        <f>'Detailed Car List + Stats'!D526</f>
        <v>911 Turbo S Leichtbau</v>
      </c>
      <c r="D526" s="6" t="str">
        <f>'Detailed Car List + Stats'!E526</f>
        <v>Retro Sports Cars</v>
      </c>
      <c r="E526" s="6" t="s">
        <v>78</v>
      </c>
      <c r="F526" s="6" t="str">
        <f>'Detailed Car List + Stats'!G526</f>
        <v>Germany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6.5" customHeight="1">
      <c r="A527" s="6" t="str">
        <f>'Detailed Car List + Stats'!B527</f>
        <v>2014</v>
      </c>
      <c r="B527" s="6" t="str">
        <f>'Detailed Car List + Stats'!C527</f>
        <v>Porsche</v>
      </c>
      <c r="C527" s="6" t="str">
        <f>'Detailed Car List + Stats'!D527</f>
        <v>918 Spider</v>
      </c>
      <c r="D527" s="6" t="str">
        <f>'Detailed Car List + Stats'!E527</f>
        <v>Hypercars</v>
      </c>
      <c r="E527" s="6" t="s">
        <v>138</v>
      </c>
      <c r="F527" s="6" t="str">
        <f>'Detailed Car List + Stats'!G527</f>
        <v>Germany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6.5" customHeight="1">
      <c r="A528" s="6" t="str">
        <f>'Detailed Car List + Stats'!B528</f>
        <v>1993</v>
      </c>
      <c r="B528" s="6" t="str">
        <f>'Detailed Car List + Stats'!C528</f>
        <v>Porsche</v>
      </c>
      <c r="C528" s="6" t="str">
        <f>'Detailed Car List + Stats'!D528</f>
        <v>928 GTS</v>
      </c>
      <c r="D528" s="6" t="str">
        <f>'Detailed Car List + Stats'!E528</f>
        <v>Retro Sports Cars</v>
      </c>
      <c r="E528" s="6" t="s">
        <v>35</v>
      </c>
      <c r="F528" s="6" t="str">
        <f>'Detailed Car List + Stats'!G528</f>
        <v>Germany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6.5" customHeight="1">
      <c r="A529" s="6" t="str">
        <f>'Detailed Car List + Stats'!B529</f>
        <v>1989</v>
      </c>
      <c r="B529" s="6" t="str">
        <f>'Detailed Car List + Stats'!C529</f>
        <v>Porsche</v>
      </c>
      <c r="C529" s="6" t="str">
        <f>'Detailed Car List + Stats'!D529</f>
        <v>944 Turbo</v>
      </c>
      <c r="D529" s="6" t="str">
        <f>'Detailed Car List + Stats'!E529</f>
        <v>Retro Sports Cars</v>
      </c>
      <c r="E529" s="6" t="s">
        <v>35</v>
      </c>
      <c r="F529" s="6" t="str">
        <f>'Detailed Car List + Stats'!G529</f>
        <v>Germany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6.5" customHeight="1">
      <c r="A530" s="6" t="str">
        <f>'Detailed Car List + Stats'!B530</f>
        <v>1987</v>
      </c>
      <c r="B530" s="6" t="str">
        <f>'Detailed Car List + Stats'!C530</f>
        <v>Porsche</v>
      </c>
      <c r="C530" s="6" t="str">
        <f>'Detailed Car List + Stats'!D530</f>
        <v>959</v>
      </c>
      <c r="D530" s="6" t="str">
        <f>'Detailed Car List + Stats'!E530</f>
        <v>Retro Supercars</v>
      </c>
      <c r="E530" s="6" t="s">
        <v>78</v>
      </c>
      <c r="F530" s="6" t="str">
        <f>'Detailed Car List + Stats'!G530</f>
        <v>Germany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6.5" customHeight="1">
      <c r="A531" s="6" t="str">
        <f>'Detailed Car List + Stats'!B531</f>
        <v>1993</v>
      </c>
      <c r="B531" s="6" t="str">
        <f>'Detailed Car List + Stats'!C531</f>
        <v>Porsche</v>
      </c>
      <c r="C531" s="6" t="str">
        <f>'Detailed Car List + Stats'!D531</f>
        <v>968 Turbo S</v>
      </c>
      <c r="D531" s="6" t="str">
        <f>'Detailed Car List + Stats'!E531</f>
        <v>Retro Sports Cars</v>
      </c>
      <c r="E531" s="6" t="s">
        <v>35</v>
      </c>
      <c r="F531" s="6" t="str">
        <f>'Detailed Car List + Stats'!G531</f>
        <v>Germany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6.5" customHeight="1">
      <c r="A532" s="6" t="str">
        <f>'Detailed Car List + Stats'!B532</f>
        <v>2003</v>
      </c>
      <c r="B532" s="6" t="str">
        <f>'Detailed Car List + Stats'!C532</f>
        <v>Porsche</v>
      </c>
      <c r="C532" s="6" t="str">
        <f>'Detailed Car List + Stats'!D532</f>
        <v>Carrera GT</v>
      </c>
      <c r="D532" s="6" t="str">
        <f>'Detailed Car List + Stats'!E532</f>
        <v>Retro Supercars</v>
      </c>
      <c r="E532" s="6" t="s">
        <v>53</v>
      </c>
      <c r="F532" s="6" t="str">
        <f>'Detailed Car List + Stats'!G532</f>
        <v>Germany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6.5" customHeight="1">
      <c r="A533" s="6" t="str">
        <f>'Detailed Car List + Stats'!B533</f>
        <v>2018</v>
      </c>
      <c r="B533" s="6" t="str">
        <f>'Detailed Car List + Stats'!C533</f>
        <v>Porsche</v>
      </c>
      <c r="C533" s="6" t="str">
        <f>'Detailed Car List + Stats'!D533</f>
        <v>Cayenne Turbo</v>
      </c>
      <c r="D533" s="6" t="str">
        <f>'Detailed Car List + Stats'!E533</f>
        <v>Sports Utility Heroes</v>
      </c>
      <c r="E533" s="6" t="s">
        <v>78</v>
      </c>
      <c r="F533" s="6" t="str">
        <f>'Detailed Car List + Stats'!G533</f>
        <v>Germany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6.5" customHeight="1">
      <c r="A534" s="6" t="str">
        <f>'Detailed Car List + Stats'!B534</f>
        <v>2005</v>
      </c>
      <c r="B534" s="6" t="str">
        <f>'Detailed Car List + Stats'!C534</f>
        <v>Porsche</v>
      </c>
      <c r="C534" s="6" t="str">
        <f>'Detailed Car List + Stats'!D534</f>
        <v>Cayman GT3 WTAC</v>
      </c>
      <c r="D534" s="6" t="str">
        <f>'Detailed Car List + Stats'!E534</f>
        <v>Extreme Track Toys</v>
      </c>
      <c r="E534" s="6" t="s">
        <v>138</v>
      </c>
      <c r="F534" s="6" t="str">
        <f>'Detailed Car List + Stats'!G534</f>
        <v>Germany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6.5" customHeight="1">
      <c r="A535" s="6" t="str">
        <f>'Detailed Car List + Stats'!B535</f>
        <v>2018</v>
      </c>
      <c r="B535" s="6" t="str">
        <f>'Detailed Car List + Stats'!C535</f>
        <v>Porsche</v>
      </c>
      <c r="C535" s="6" t="str">
        <f>'Detailed Car List + Stats'!D535</f>
        <v>Macan LPR Rally Raid</v>
      </c>
      <c r="D535" s="6" t="str">
        <f>'Detailed Car List + Stats'!E535</f>
        <v>Offroad</v>
      </c>
      <c r="E535" s="6" t="s">
        <v>35</v>
      </c>
      <c r="F535" s="6" t="str">
        <f>'Detailed Car List + Stats'!G535</f>
        <v>Germany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6.5" customHeight="1">
      <c r="A536" s="6" t="str">
        <f>'Detailed Car List + Stats'!B536</f>
        <v>2021</v>
      </c>
      <c r="B536" s="6" t="str">
        <f>'Detailed Car List + Stats'!C536</f>
        <v>Porsche</v>
      </c>
      <c r="C536" s="6" t="str">
        <f>'Detailed Car List + Stats'!D536</f>
        <v>Mission R</v>
      </c>
      <c r="D536" s="6" t="str">
        <f>'Detailed Car List + Stats'!E536</f>
        <v>Extreme Track Toys</v>
      </c>
      <c r="E536" s="6" t="s">
        <v>138</v>
      </c>
      <c r="F536" s="6" t="str">
        <f>'Detailed Car List + Stats'!G536</f>
        <v>Germany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6.5" customHeight="1">
      <c r="A537" s="6" t="str">
        <f>'Detailed Car List + Stats'!B537</f>
        <v>2020</v>
      </c>
      <c r="B537" s="6" t="str">
        <f>'Detailed Car List + Stats'!C537</f>
        <v>Porsche</v>
      </c>
      <c r="C537" s="6" t="str">
        <f>'Detailed Car List + Stats'!D537</f>
        <v>Taycan Turbo S</v>
      </c>
      <c r="D537" s="6" t="str">
        <f>'Detailed Car List + Stats'!E537</f>
        <v>Modern Super Saloons</v>
      </c>
      <c r="E537" s="6" t="s">
        <v>53</v>
      </c>
      <c r="F537" s="6" t="str">
        <f>'Detailed Car List + Stats'!G537</f>
        <v>Germany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6.5" customHeight="1">
      <c r="A538" s="6" t="str">
        <f>'Detailed Car List + Stats'!B538</f>
        <v>2015</v>
      </c>
      <c r="B538" s="6" t="str">
        <f>'Detailed Car List + Stats'!C538</f>
        <v>Radical</v>
      </c>
      <c r="C538" s="6" t="str">
        <f>'Detailed Car List + Stats'!D538</f>
        <v>RXC Turbo</v>
      </c>
      <c r="D538" s="6" t="str">
        <f>'Detailed Car List + Stats'!E538</f>
        <v>Extreme Track Toys</v>
      </c>
      <c r="E538" s="6" t="s">
        <v>138</v>
      </c>
      <c r="F538" s="6" t="str">
        <f>'Detailed Car List + Stats'!G538</f>
        <v>UK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6.5" customHeight="1">
      <c r="A539" s="6" t="str">
        <f>'Detailed Car List + Stats'!B539</f>
        <v>2024</v>
      </c>
      <c r="B539" s="6" t="str">
        <f>'Detailed Car List + Stats'!C539</f>
        <v>Ram</v>
      </c>
      <c r="C539" s="6" t="str">
        <f>'Detailed Car List + Stats'!D539</f>
        <v>1500 TRX</v>
      </c>
      <c r="D539" s="6" t="str">
        <f>'Detailed Car List + Stats'!E539</f>
        <v>Pickups &amp; 4x4s</v>
      </c>
      <c r="E539" s="6" t="s">
        <v>35</v>
      </c>
      <c r="F539" s="6" t="str">
        <f>'Detailed Car List + Stats'!G539</f>
        <v>USA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6.5" customHeight="1">
      <c r="A540" s="6" t="str">
        <f>'Detailed Car List + Stats'!B540</f>
        <v>1972</v>
      </c>
      <c r="B540" s="6" t="str">
        <f>'Detailed Car List + Stats'!C540</f>
        <v>Reliant</v>
      </c>
      <c r="C540" s="6" t="str">
        <f>'Detailed Car List + Stats'!D540</f>
        <v>Supervan III</v>
      </c>
      <c r="D540" s="6" t="str">
        <f>'Detailed Car List + Stats'!E540</f>
        <v>Utility Heroes</v>
      </c>
      <c r="E540" s="6" t="s">
        <v>31</v>
      </c>
      <c r="F540" s="6" t="str">
        <f>'Detailed Car List + Stats'!G540</f>
        <v>UK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6.5" customHeight="1">
      <c r="A541" s="6" t="str">
        <f>'Detailed Car List + Stats'!B541</f>
        <v>1980</v>
      </c>
      <c r="B541" s="6" t="str">
        <f>'Detailed Car List + Stats'!C541</f>
        <v>Renault</v>
      </c>
      <c r="C541" s="6" t="str">
        <f>'Detailed Car List + Stats'!D541</f>
        <v>5 Turbo</v>
      </c>
      <c r="D541" s="6" t="str">
        <f>'Detailed Car List + Stats'!E541</f>
        <v>Retro Rally</v>
      </c>
      <c r="E541" s="6" t="s">
        <v>28</v>
      </c>
      <c r="F541" s="6" t="str">
        <f>'Detailed Car List + Stats'!G541</f>
        <v>France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6.5" customHeight="1">
      <c r="A542" s="6" t="str">
        <f>'Detailed Car List + Stats'!B542</f>
        <v>1967</v>
      </c>
      <c r="B542" s="6" t="str">
        <f>'Detailed Car List + Stats'!C542</f>
        <v>Renault</v>
      </c>
      <c r="C542" s="6" t="str">
        <f>'Detailed Car List + Stats'!D542</f>
        <v>8 Gordini</v>
      </c>
      <c r="D542" s="6" t="str">
        <f>'Detailed Car List + Stats'!E542</f>
        <v>Classic Rally</v>
      </c>
      <c r="E542" s="6" t="s">
        <v>31</v>
      </c>
      <c r="F542" s="6" t="str">
        <f>'Detailed Car List + Stats'!G542</f>
        <v>France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6.5" customHeight="1">
      <c r="A543" s="6" t="str">
        <f>'Detailed Car List + Stats'!B543</f>
        <v>1993</v>
      </c>
      <c r="B543" s="6" t="str">
        <f>'Detailed Car List + Stats'!C543</f>
        <v>Renault</v>
      </c>
      <c r="C543" s="6" t="str">
        <f>'Detailed Car List + Stats'!D543</f>
        <v>Clio Williams</v>
      </c>
      <c r="D543" s="6" t="str">
        <f>'Detailed Car List + Stats'!E543</f>
        <v>Retro Hot Hatch</v>
      </c>
      <c r="E543" s="6" t="s">
        <v>31</v>
      </c>
      <c r="F543" s="6" t="str">
        <f>'Detailed Car List + Stats'!G543</f>
        <v>France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6.5" customHeight="1">
      <c r="A544" s="6" t="str">
        <f>'Detailed Car List + Stats'!B544</f>
        <v>2018</v>
      </c>
      <c r="B544" s="6" t="str">
        <f>'Detailed Car List + Stats'!C544</f>
        <v>Renault</v>
      </c>
      <c r="C544" s="6" t="str">
        <f>'Detailed Car List + Stats'!D544</f>
        <v>Megane R.S.</v>
      </c>
      <c r="D544" s="6" t="str">
        <f>'Detailed Car List + Stats'!E544</f>
        <v>Super Hot Hatch</v>
      </c>
      <c r="E544" s="6" t="s">
        <v>35</v>
      </c>
      <c r="F544" s="6" t="str">
        <f>'Detailed Car List + Stats'!G544</f>
        <v>France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6.5" customHeight="1">
      <c r="A545" s="6" t="str">
        <f>'Detailed Car List + Stats'!B545</f>
        <v>2008</v>
      </c>
      <c r="B545" s="6" t="str">
        <f>'Detailed Car List + Stats'!C545</f>
        <v>Renault</v>
      </c>
      <c r="C545" s="6" t="str">
        <f>'Detailed Car List + Stats'!D545</f>
        <v>Mégane R26.R</v>
      </c>
      <c r="D545" s="6" t="str">
        <f>'Detailed Car List + Stats'!E545</f>
        <v>Hot Hatch</v>
      </c>
      <c r="E545" s="6" t="s">
        <v>35</v>
      </c>
      <c r="F545" s="6" t="str">
        <f>'Detailed Car List + Stats'!G545</f>
        <v>France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6.5" customHeight="1">
      <c r="A546" s="6" t="str">
        <f>'Detailed Car List + Stats'!B546</f>
        <v>2010</v>
      </c>
      <c r="B546" s="6" t="str">
        <f>'Detailed Car List + Stats'!C546</f>
        <v>Renault</v>
      </c>
      <c r="C546" s="6" t="str">
        <f>'Detailed Car List + Stats'!D546</f>
        <v>Megane RS 250</v>
      </c>
      <c r="D546" s="6" t="str">
        <f>'Detailed Car List + Stats'!E546</f>
        <v>Super Hot Hatch</v>
      </c>
      <c r="E546" s="6" t="s">
        <v>35</v>
      </c>
      <c r="F546" s="6" t="str">
        <f>'Detailed Car List + Stats'!G546</f>
        <v>France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6.5" customHeight="1">
      <c r="A547" s="6" t="str">
        <f>'Detailed Car List + Stats'!B547</f>
        <v>2021</v>
      </c>
      <c r="B547" s="6" t="str">
        <f>'Detailed Car List + Stats'!C547</f>
        <v>Rimac</v>
      </c>
      <c r="C547" s="6" t="str">
        <f>'Detailed Car List + Stats'!D547</f>
        <v>Nevera</v>
      </c>
      <c r="D547" s="6" t="str">
        <f>'Detailed Car List + Stats'!E547</f>
        <v>Hypercars</v>
      </c>
      <c r="E547" s="6" t="s">
        <v>108</v>
      </c>
      <c r="F547" s="6" t="str">
        <f>'Detailed Car List + Stats'!G547</f>
        <v>Croatia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6.5" customHeight="1">
      <c r="A548" s="6" t="str">
        <f>'Detailed Car List + Stats'!B548</f>
        <v>2022</v>
      </c>
      <c r="B548" s="6" t="str">
        <f>'Detailed Car List + Stats'!C548</f>
        <v>Rivian</v>
      </c>
      <c r="C548" s="6" t="str">
        <f>'Detailed Car List + Stats'!D548</f>
        <v>R1T</v>
      </c>
      <c r="D548" s="6" t="str">
        <f>'Detailed Car List + Stats'!E548</f>
        <v>Pickups &amp; 4x4s</v>
      </c>
      <c r="E548" s="6" t="s">
        <v>78</v>
      </c>
      <c r="F548" s="6" t="str">
        <f>'Detailed Car List + Stats'!G548</f>
        <v>USA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6.5" customHeight="1">
      <c r="A549" s="6" t="str">
        <f>'Detailed Car List + Stats'!B549</f>
        <v>2016</v>
      </c>
      <c r="B549" s="6" t="str">
        <f>'Detailed Car List + Stats'!C549</f>
        <v>RJ Anderson</v>
      </c>
      <c r="C549" s="6" t="str">
        <f>'Detailed Car List + Stats'!D549</f>
        <v>#37 Polaris RZR Pro 2 Truck</v>
      </c>
      <c r="D549" s="6" t="str">
        <f>'Detailed Car List + Stats'!E549</f>
        <v>Unlimited Offroad</v>
      </c>
      <c r="E549" s="6" t="s">
        <v>78</v>
      </c>
      <c r="F549" s="6" t="str">
        <f>'Detailed Car List + Stats'!G549</f>
        <v>USA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6.5" customHeight="1">
      <c r="A550" s="6" t="str">
        <f>'Detailed Car List + Stats'!B550</f>
        <v>2021</v>
      </c>
      <c r="B550" s="6" t="str">
        <f>'Detailed Car List + Stats'!C550</f>
        <v>RJ Anderson</v>
      </c>
      <c r="C550" s="6" t="str">
        <f>'Detailed Car List + Stats'!D550</f>
        <v>#37 Polaris RZR Pro 4 Truck</v>
      </c>
      <c r="D550" s="6" t="str">
        <f>'Detailed Car List + Stats'!E550</f>
        <v>Unlimited Offroad</v>
      </c>
      <c r="E550" s="6" t="s">
        <v>78</v>
      </c>
      <c r="F550" s="6" t="str">
        <f>'Detailed Car List + Stats'!G550</f>
        <v>USA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6.5" customHeight="1">
      <c r="A551" s="6" t="str">
        <f>'Detailed Car List + Stats'!B551</f>
        <v>2017</v>
      </c>
      <c r="B551" s="6" t="str">
        <f>'Detailed Car List + Stats'!C551</f>
        <v>Saleen</v>
      </c>
      <c r="C551" s="6" t="str">
        <f>'Detailed Car List + Stats'!D551</f>
        <v>S7 LM</v>
      </c>
      <c r="D551" s="6" t="str">
        <f>'Detailed Car List + Stats'!E551</f>
        <v>Extreme Track Toys</v>
      </c>
      <c r="E551" s="6" t="s">
        <v>138</v>
      </c>
      <c r="F551" s="6" t="str">
        <f>'Detailed Car List + Stats'!G551</f>
        <v>USA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6.5" customHeight="1">
      <c r="A552" s="6" t="str">
        <f>'Detailed Car List + Stats'!B552</f>
        <v>1993</v>
      </c>
      <c r="B552" s="6" t="str">
        <f>'Detailed Car List + Stats'!C552</f>
        <v>Schuppan</v>
      </c>
      <c r="C552" s="6" t="str">
        <f>'Detailed Car List + Stats'!D552</f>
        <v>962CR</v>
      </c>
      <c r="D552" s="6" t="str">
        <f>'Detailed Car List + Stats'!E552</f>
        <v>Retro Supercars</v>
      </c>
      <c r="E552" s="6" t="s">
        <v>53</v>
      </c>
      <c r="F552" s="6" t="str">
        <f>'Detailed Car List + Stats'!G552</f>
        <v>UK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6.5" customHeight="1">
      <c r="A553" s="6" t="str">
        <f>'Detailed Car List + Stats'!B553</f>
        <v>1965</v>
      </c>
      <c r="B553" s="6" t="str">
        <f>'Detailed Car List + Stats'!C553</f>
        <v>Shelby</v>
      </c>
      <c r="C553" s="6" t="str">
        <f>'Detailed Car List + Stats'!D553</f>
        <v>Cobra 427 S/C</v>
      </c>
      <c r="D553" s="6" t="str">
        <f>'Detailed Car List + Stats'!E553</f>
        <v>Rare Classics</v>
      </c>
      <c r="E553" s="6" t="s">
        <v>35</v>
      </c>
      <c r="F553" s="6" t="str">
        <f>'Detailed Car List + Stats'!G553</f>
        <v>USA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6.5" customHeight="1">
      <c r="A554" s="6" t="str">
        <f>'Detailed Car List + Stats'!B554</f>
        <v>1965</v>
      </c>
      <c r="B554" s="6" t="str">
        <f>'Detailed Car List + Stats'!C554</f>
        <v>Shelby</v>
      </c>
      <c r="C554" s="6" t="str">
        <f>'Detailed Car List + Stats'!D554</f>
        <v>Cobra Daytona Coupe</v>
      </c>
      <c r="D554" s="6" t="str">
        <f>'Detailed Car List + Stats'!E554</f>
        <v>Classic Racers</v>
      </c>
      <c r="E554" s="6" t="s">
        <v>35</v>
      </c>
      <c r="F554" s="6" t="str">
        <f>'Detailed Car List + Stats'!G554</f>
        <v>USA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6.5" customHeight="1">
      <c r="A555" s="6" t="str">
        <f>'Detailed Car List + Stats'!B555</f>
        <v>2020</v>
      </c>
      <c r="B555" s="6" t="str">
        <f>'Detailed Car List + Stats'!C555</f>
        <v>SIERRA Cars</v>
      </c>
      <c r="C555" s="6" t="str">
        <f>'Detailed Car List + Stats'!D555</f>
        <v>#23 Yokohama ALPHA</v>
      </c>
      <c r="D555" s="6" t="str">
        <f>'Detailed Car List + Stats'!E555</f>
        <v>Extreme Track Toys</v>
      </c>
      <c r="E555" s="6" t="s">
        <v>108</v>
      </c>
      <c r="F555" s="6" t="str">
        <f>'Detailed Car List + Stats'!G555</f>
        <v>USA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6.5" customHeight="1">
      <c r="A556" s="6" t="str">
        <f>'Detailed Car List + Stats'!B556</f>
        <v>2021</v>
      </c>
      <c r="B556" s="6" t="str">
        <f>'Detailed Car List + Stats'!C556</f>
        <v>SIERRA Cars</v>
      </c>
      <c r="C556" s="6" t="str">
        <f>'Detailed Car List + Stats'!D556</f>
        <v>700R</v>
      </c>
      <c r="D556" s="6" t="str">
        <f>'Detailed Car List + Stats'!E556</f>
        <v>UTVs</v>
      </c>
      <c r="E556" s="6" t="s">
        <v>31</v>
      </c>
      <c r="F556" s="6" t="str">
        <f>'Detailed Car List + Stats'!G556</f>
        <v>USA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6.5" customHeight="1">
      <c r="A557" s="6" t="str">
        <f>'Detailed Car List + Stats'!B557</f>
        <v>2021</v>
      </c>
      <c r="B557" s="6" t="str">
        <f>'Detailed Car List + Stats'!C557</f>
        <v>SIERRA Cars</v>
      </c>
      <c r="C557" s="6" t="str">
        <f>'Detailed Car List + Stats'!D557</f>
        <v>RX3</v>
      </c>
      <c r="D557" s="6" t="str">
        <f>'Detailed Car List + Stats'!E557</f>
        <v>UTVs</v>
      </c>
      <c r="E557" s="6" t="s">
        <v>78</v>
      </c>
      <c r="F557" s="6" t="str">
        <f>'Detailed Car List + Stats'!G557</f>
        <v>USA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6.5" customHeight="1">
      <c r="A558" s="6" t="str">
        <f>'Detailed Car List + Stats'!B558</f>
        <v>2013</v>
      </c>
      <c r="B558" s="6" t="str">
        <f>'Detailed Car List + Stats'!C558</f>
        <v>SRT</v>
      </c>
      <c r="C558" s="6" t="str">
        <f>'Detailed Car List + Stats'!D558</f>
        <v>Viper GTS</v>
      </c>
      <c r="D558" s="6" t="str">
        <f>'Detailed Car List + Stats'!E558</f>
        <v>Modern Muscle</v>
      </c>
      <c r="E558" s="6" t="s">
        <v>53</v>
      </c>
      <c r="F558" s="6" t="str">
        <f>'Detailed Car List + Stats'!G558</f>
        <v>USA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6.5" customHeight="1">
      <c r="A559" s="6" t="str">
        <f>'Detailed Car List + Stats'!B559</f>
        <v>1980</v>
      </c>
      <c r="B559" s="6" t="str">
        <f>'Detailed Car List + Stats'!C559</f>
        <v>Subaru</v>
      </c>
      <c r="C559" s="6" t="str">
        <f>'Detailed Car List + Stats'!D559</f>
        <v>Brat GL</v>
      </c>
      <c r="D559" s="6" t="str">
        <f>'Detailed Car List + Stats'!E559</f>
        <v>Utility Heroes</v>
      </c>
      <c r="E559" s="6" t="s">
        <v>31</v>
      </c>
      <c r="F559" s="6" t="str">
        <f>'Detailed Car List + Stats'!G559</f>
        <v>Japan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6.5" customHeight="1">
      <c r="A560" s="6" t="str">
        <f>'Detailed Car List + Stats'!B560</f>
        <v>2013</v>
      </c>
      <c r="B560" s="6" t="str">
        <f>'Detailed Car List + Stats'!C560</f>
        <v>Subaru</v>
      </c>
      <c r="C560" s="6" t="str">
        <f>'Detailed Car List + Stats'!D560</f>
        <v>BRZ</v>
      </c>
      <c r="D560" s="6" t="str">
        <f>'Detailed Car List + Stats'!E560</f>
        <v>Modern Sports Cars</v>
      </c>
      <c r="E560" s="6" t="s">
        <v>28</v>
      </c>
      <c r="F560" s="6" t="str">
        <f>'Detailed Car List + Stats'!G560</f>
        <v>Japan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6.5" customHeight="1">
      <c r="A561" s="6" t="str">
        <f>'Detailed Car List + Stats'!B561</f>
        <v>2022</v>
      </c>
      <c r="B561" s="6" t="str">
        <f>'Detailed Car List + Stats'!C561</f>
        <v>Subaru</v>
      </c>
      <c r="C561" s="6" t="str">
        <f>'Detailed Car List + Stats'!D561</f>
        <v>BRZ</v>
      </c>
      <c r="D561" s="6" t="str">
        <f>'Detailed Car List + Stats'!E561</f>
        <v>Modern Sports Cars</v>
      </c>
      <c r="E561" s="6" t="s">
        <v>35</v>
      </c>
      <c r="F561" s="6" t="str">
        <f>'Detailed Car List + Stats'!G561</f>
        <v>Japan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6.5" customHeight="1">
      <c r="A562" s="6" t="str">
        <f>'Detailed Car List + Stats'!B562</f>
        <v>2022</v>
      </c>
      <c r="B562" s="6" t="str">
        <f>'Detailed Car List + Stats'!C562</f>
        <v>Subaru</v>
      </c>
      <c r="C562" s="6" t="str">
        <f>'Detailed Car List + Stats'!D562</f>
        <v>BRZ Forza Edition</v>
      </c>
      <c r="D562" s="6" t="str">
        <f>'Detailed Car List + Stats'!E562</f>
        <v>Unlimited Offroad</v>
      </c>
      <c r="E562" s="6" t="s">
        <v>78</v>
      </c>
      <c r="F562" s="6" t="str">
        <f>'Detailed Car List + Stats'!G562</f>
        <v>Japan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6.5" customHeight="1">
      <c r="A563" s="6" t="str">
        <f>'Detailed Car List + Stats'!B563</f>
        <v>1998</v>
      </c>
      <c r="B563" s="6" t="str">
        <f>'Detailed Car List + Stats'!C563</f>
        <v>Subaru</v>
      </c>
      <c r="C563" s="6" t="str">
        <f>'Detailed Car List + Stats'!D563</f>
        <v>Impreza 22B STi</v>
      </c>
      <c r="D563" s="6" t="str">
        <f>'Detailed Car List + Stats'!E563</f>
        <v>Retro Rally</v>
      </c>
      <c r="E563" s="6" t="s">
        <v>35</v>
      </c>
      <c r="F563" s="6" t="str">
        <f>'Detailed Car List + Stats'!G563</f>
        <v>Japan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6.5" customHeight="1">
      <c r="A564" s="6" t="str">
        <f>'Detailed Car List + Stats'!B564</f>
        <v>2004</v>
      </c>
      <c r="B564" s="6" t="str">
        <f>'Detailed Car List + Stats'!C564</f>
        <v>Subaru</v>
      </c>
      <c r="C564" s="6" t="str">
        <f>'Detailed Car List + Stats'!D564</f>
        <v>Impreza WRX STI</v>
      </c>
      <c r="D564" s="6" t="str">
        <f>'Detailed Car List + Stats'!E564</f>
        <v>Modern Rally</v>
      </c>
      <c r="E564" s="6" t="s">
        <v>35</v>
      </c>
      <c r="F564" s="6" t="str">
        <f>'Detailed Car List + Stats'!G564</f>
        <v>Japan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6.5" customHeight="1">
      <c r="A565" s="6" t="str">
        <f>'Detailed Car List + Stats'!B565</f>
        <v>2005</v>
      </c>
      <c r="B565" s="6" t="str">
        <f>'Detailed Car List + Stats'!C565</f>
        <v>Subaru</v>
      </c>
      <c r="C565" s="6" t="str">
        <f>'Detailed Car List + Stats'!D565</f>
        <v>Impreza WRX STI</v>
      </c>
      <c r="D565" s="6" t="str">
        <f>'Detailed Car List + Stats'!E565</f>
        <v>Modern Rally</v>
      </c>
      <c r="E565" s="6" t="s">
        <v>35</v>
      </c>
      <c r="F565" s="6" t="str">
        <f>'Detailed Car List + Stats'!G565</f>
        <v>Japan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6.5" customHeight="1">
      <c r="A566" s="6" t="str">
        <f>'Detailed Car List + Stats'!B566</f>
        <v>2008</v>
      </c>
      <c r="B566" s="6" t="str">
        <f>'Detailed Car List + Stats'!C566</f>
        <v>Subaru</v>
      </c>
      <c r="C566" s="6" t="str">
        <f>'Detailed Car List + Stats'!D566</f>
        <v>Impreza WRX STI</v>
      </c>
      <c r="D566" s="6" t="str">
        <f>'Detailed Car List + Stats'!E566</f>
        <v>Modern Rally</v>
      </c>
      <c r="E566" s="6" t="s">
        <v>35</v>
      </c>
      <c r="F566" s="6" t="str">
        <f>'Detailed Car List + Stats'!G566</f>
        <v>Japan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6.5" customHeight="1">
      <c r="A567" s="6" t="str">
        <f>'Detailed Car List + Stats'!B567</f>
        <v>2005</v>
      </c>
      <c r="B567" s="6" t="str">
        <f>'Detailed Car List + Stats'!C567</f>
        <v>Subaru</v>
      </c>
      <c r="C567" s="6" t="str">
        <f>'Detailed Car List + Stats'!D567</f>
        <v>Legacy B4 2.0 GT</v>
      </c>
      <c r="D567" s="6" t="str">
        <f>'Detailed Car List + Stats'!E567</f>
        <v>Retro Super Saloons</v>
      </c>
      <c r="E567" s="6" t="s">
        <v>35</v>
      </c>
      <c r="F567" s="6" t="str">
        <f>'Detailed Car List + Stats'!G567</f>
        <v>Japan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6.5" customHeight="1">
      <c r="A568" s="6" t="str">
        <f>'Detailed Car List + Stats'!B568</f>
        <v>1990</v>
      </c>
      <c r="B568" s="6" t="str">
        <f>'Detailed Car List + Stats'!C568</f>
        <v>Subaru</v>
      </c>
      <c r="C568" s="6" t="str">
        <f>'Detailed Car List + Stats'!D568</f>
        <v>Legacy RS</v>
      </c>
      <c r="D568" s="6" t="str">
        <f>'Detailed Car List + Stats'!E568</f>
        <v>Retro Rally</v>
      </c>
      <c r="E568" s="6" t="s">
        <v>28</v>
      </c>
      <c r="F568" s="6" t="str">
        <f>'Detailed Car List + Stats'!G568</f>
        <v>Japan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6.5" customHeight="1">
      <c r="A569" s="6" t="str">
        <f>'Detailed Car List + Stats'!B569</f>
        <v>2019</v>
      </c>
      <c r="B569" s="6" t="str">
        <f>'Detailed Car List + Stats'!C569</f>
        <v>Subaru</v>
      </c>
      <c r="C569" s="6" t="str">
        <f>'Detailed Car List + Stats'!D569</f>
        <v>STI S209</v>
      </c>
      <c r="D569" s="6" t="str">
        <f>'Detailed Car List + Stats'!E569</f>
        <v>Modern Rally</v>
      </c>
      <c r="E569" s="6" t="s">
        <v>35</v>
      </c>
      <c r="F569" s="6" t="str">
        <f>'Detailed Car List + Stats'!G569</f>
        <v>Japan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6.5" customHeight="1">
      <c r="A570" s="6" t="str">
        <f>'Detailed Car List + Stats'!B570</f>
        <v>1996</v>
      </c>
      <c r="B570" s="6" t="str">
        <f>'Detailed Car List + Stats'!C570</f>
        <v>Subaru</v>
      </c>
      <c r="C570" s="6" t="str">
        <f>'Detailed Car List + Stats'!D570</f>
        <v>SVX</v>
      </c>
      <c r="D570" s="6" t="str">
        <f>'Detailed Car List + Stats'!E570</f>
        <v>Retro Sports Cars</v>
      </c>
      <c r="E570" s="6" t="s">
        <v>28</v>
      </c>
      <c r="F570" s="6" t="str">
        <f>'Detailed Car List + Stats'!G570</f>
        <v>Japan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6.5" customHeight="1">
      <c r="A571" s="6" t="str">
        <f>'Detailed Car List + Stats'!B571</f>
        <v>1994</v>
      </c>
      <c r="B571" s="6" t="str">
        <f>'Detailed Car List + Stats'!C571</f>
        <v>Subaru</v>
      </c>
      <c r="C571" s="6" t="str">
        <f>'Detailed Car List + Stats'!D571</f>
        <v>Vivio RX-R</v>
      </c>
      <c r="D571" s="6" t="str">
        <f>'Detailed Car List + Stats'!E571</f>
        <v>Eclectic Domestics</v>
      </c>
      <c r="E571" s="6" t="s">
        <v>31</v>
      </c>
      <c r="F571" s="6" t="str">
        <f>'Detailed Car List + Stats'!G571</f>
        <v>Japan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6.5" customHeight="1">
      <c r="A572" s="6" t="str">
        <f>'Detailed Car List + Stats'!B572</f>
        <v>1994</v>
      </c>
      <c r="B572" s="6" t="str">
        <f>'Detailed Car List + Stats'!C572</f>
        <v>Subaru</v>
      </c>
      <c r="C572" s="6" t="str">
        <f>'Detailed Car List + Stats'!D572</f>
        <v>Vivio RX-R Forza Edition</v>
      </c>
      <c r="D572" s="6" t="str">
        <f>'Detailed Car List + Stats'!E572</f>
        <v>Extreme Track Toys</v>
      </c>
      <c r="E572" s="6" t="s">
        <v>138</v>
      </c>
      <c r="F572" s="6" t="str">
        <f>'Detailed Car List + Stats'!G572</f>
        <v>Japan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6.5" customHeight="1">
      <c r="A573" s="6" t="str">
        <f>'Detailed Car List + Stats'!B573</f>
        <v>2022</v>
      </c>
      <c r="B573" s="6" t="str">
        <f>'Detailed Car List + Stats'!C573</f>
        <v>Subaru</v>
      </c>
      <c r="C573" s="6" t="str">
        <f>'Detailed Car List + Stats'!D573</f>
        <v>WRX</v>
      </c>
      <c r="D573" s="6" t="str">
        <f>'Detailed Car List + Stats'!E573</f>
        <v>Modern Rally</v>
      </c>
      <c r="E573" s="6" t="s">
        <v>35</v>
      </c>
      <c r="F573" s="6" t="str">
        <f>'Detailed Car List + Stats'!G573</f>
        <v>Japan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6.5" customHeight="1">
      <c r="A574" s="6" t="str">
        <f>'Detailed Car List + Stats'!B574</f>
        <v>2011</v>
      </c>
      <c r="B574" s="6" t="str">
        <f>'Detailed Car List + Stats'!C574</f>
        <v>Subaru</v>
      </c>
      <c r="C574" s="6" t="str">
        <f>'Detailed Car List + Stats'!D574</f>
        <v>WRX STI</v>
      </c>
      <c r="D574" s="6" t="str">
        <f>'Detailed Car List + Stats'!E574</f>
        <v>Modern Rally</v>
      </c>
      <c r="E574" s="6" t="s">
        <v>35</v>
      </c>
      <c r="F574" s="6" t="str">
        <f>'Detailed Car List + Stats'!G574</f>
        <v>Japan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6.5" customHeight="1">
      <c r="A575" s="6" t="str">
        <f>'Detailed Car List + Stats'!B575</f>
        <v>2015</v>
      </c>
      <c r="B575" s="6" t="str">
        <f>'Detailed Car List + Stats'!C575</f>
        <v>Subaru</v>
      </c>
      <c r="C575" s="6" t="str">
        <f>'Detailed Car List + Stats'!D575</f>
        <v>WRX STI</v>
      </c>
      <c r="D575" s="6" t="str">
        <f>'Detailed Car List + Stats'!E575</f>
        <v>Modern Rally</v>
      </c>
      <c r="E575" s="6" t="s">
        <v>35</v>
      </c>
      <c r="F575" s="6" t="str">
        <f>'Detailed Car List + Stats'!G575</f>
        <v>Japan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6.5" customHeight="1">
      <c r="A576" s="6" t="str">
        <f>'Detailed Car List + Stats'!B576</f>
        <v>2018</v>
      </c>
      <c r="B576" s="6" t="str">
        <f>'Detailed Car List + Stats'!C576</f>
        <v>Subaru</v>
      </c>
      <c r="C576" s="6" t="str">
        <f>'Detailed Car List + Stats'!D576</f>
        <v>WRX STI ARX Supercar</v>
      </c>
      <c r="D576" s="6" t="str">
        <f>'Detailed Car List + Stats'!E576</f>
        <v>Rally Monsters</v>
      </c>
      <c r="E576" s="6" t="s">
        <v>53</v>
      </c>
      <c r="F576" s="6" t="str">
        <f>'Detailed Car List + Stats'!G576</f>
        <v>Japan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6.5" customHeight="1">
      <c r="A577" s="6" t="str">
        <f>'Detailed Car List + Stats'!B577</f>
        <v>1993</v>
      </c>
      <c r="B577" s="6" t="str">
        <f>'Detailed Car List + Stats'!C577</f>
        <v>Toyota</v>
      </c>
      <c r="C577" s="6" t="str">
        <f>'Detailed Car List + Stats'!D577</f>
        <v>#1 T100 Baja Truck</v>
      </c>
      <c r="D577" s="6" t="str">
        <f>'Detailed Car List + Stats'!E577</f>
        <v>Unlimited Offroad</v>
      </c>
      <c r="E577" s="6" t="s">
        <v>35</v>
      </c>
      <c r="F577" s="6" t="str">
        <f>'Detailed Car List + Stats'!G577</f>
        <v>Japan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6.5" customHeight="1">
      <c r="A578" s="6" t="str">
        <f>'Detailed Car List + Stats'!B578</f>
        <v>1969</v>
      </c>
      <c r="B578" s="6" t="str">
        <f>'Detailed Car List + Stats'!C578</f>
        <v>Toyota</v>
      </c>
      <c r="C578" s="6" t="str">
        <f>'Detailed Car List + Stats'!D578</f>
        <v>2000GT</v>
      </c>
      <c r="D578" s="6" t="str">
        <f>'Detailed Car List + Stats'!E578</f>
        <v>Rare Classics</v>
      </c>
      <c r="E578" s="6" t="s">
        <v>31</v>
      </c>
      <c r="F578" s="6" t="str">
        <f>'Detailed Car List + Stats'!G578</f>
        <v>Japan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6.5" customHeight="1">
      <c r="A579" s="6" t="str">
        <f>'Detailed Car List + Stats'!B579</f>
        <v>2019</v>
      </c>
      <c r="B579" s="6" t="str">
        <f>'Detailed Car List + Stats'!C579</f>
        <v>Toyota</v>
      </c>
      <c r="C579" s="6" t="str">
        <f>'Detailed Car List + Stats'!D579</f>
        <v>4Runner TRD Pro</v>
      </c>
      <c r="D579" s="6" t="str">
        <f>'Detailed Car List + Stats'!E579</f>
        <v>Pickups &amp; 4x4s</v>
      </c>
      <c r="E579" s="6" t="s">
        <v>28</v>
      </c>
      <c r="F579" s="6" t="str">
        <f>'Detailed Car List + Stats'!G579</f>
        <v>Japan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6.5" customHeight="1">
      <c r="A580" s="6" t="str">
        <f>'Detailed Car List + Stats'!B580</f>
        <v>2013</v>
      </c>
      <c r="B580" s="6" t="str">
        <f>'Detailed Car List + Stats'!C580</f>
        <v>Toyota</v>
      </c>
      <c r="C580" s="6" t="str">
        <f>'Detailed Car List + Stats'!D580</f>
        <v>86</v>
      </c>
      <c r="D580" s="6" t="str">
        <f>'Detailed Car List + Stats'!E580</f>
        <v>Modern Sports Cars</v>
      </c>
      <c r="E580" s="6" t="s">
        <v>28</v>
      </c>
      <c r="F580" s="6" t="str">
        <f>'Detailed Car List + Stats'!G580</f>
        <v>Japan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6.5" customHeight="1">
      <c r="A581" s="6" t="str">
        <f>'Detailed Car List + Stats'!B581</f>
        <v>2013</v>
      </c>
      <c r="B581" s="6" t="str">
        <f>'Detailed Car List + Stats'!C581</f>
        <v>Toyota</v>
      </c>
      <c r="C581" s="6" t="str">
        <f>'Detailed Car List + Stats'!D581</f>
        <v>86 Stories</v>
      </c>
      <c r="D581" s="6" t="str">
        <f>'Detailed Car List + Stats'!E581</f>
        <v>Track Toys</v>
      </c>
      <c r="E581" s="6" t="s">
        <v>78</v>
      </c>
      <c r="F581" s="6" t="str">
        <f>'Detailed Car List + Stats'!G581</f>
        <v>Japan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6.5" customHeight="1">
      <c r="A582" s="6" t="str">
        <f>'Detailed Car List + Stats'!B582</f>
        <v>1999</v>
      </c>
      <c r="B582" s="6" t="str">
        <f>'Detailed Car List + Stats'!C582</f>
        <v>Toyota</v>
      </c>
      <c r="C582" s="6" t="str">
        <f>'Detailed Car List + Stats'!D582</f>
        <v>Altezza RS200 Z EDITION</v>
      </c>
      <c r="D582" s="6" t="str">
        <f>'Detailed Car List + Stats'!E582</f>
        <v>Retro Super Saloons</v>
      </c>
      <c r="E582" s="6" t="s">
        <v>28</v>
      </c>
      <c r="F582" s="6" t="str">
        <f>'Detailed Car List + Stats'!G582</f>
        <v>Japan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6.5" customHeight="1">
      <c r="A583" s="6" t="str">
        <f>'Detailed Car List + Stats'!B583</f>
        <v>2023</v>
      </c>
      <c r="B583" s="6" t="str">
        <f>'Detailed Car List + Stats'!C583</f>
        <v>Toyota</v>
      </c>
      <c r="C583" s="6" t="str">
        <f>'Detailed Car List + Stats'!D583</f>
        <v>Camry TRD</v>
      </c>
      <c r="D583" s="6" t="str">
        <f>'Detailed Car List + Stats'!E583</f>
        <v>Modern Super Saloons</v>
      </c>
      <c r="E583" s="6" t="s">
        <v>35</v>
      </c>
      <c r="F583" s="6" t="str">
        <f>'Detailed Car List + Stats'!G583</f>
        <v>Japan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6.5" customHeight="1">
      <c r="A584" s="6" t="str">
        <f>'Detailed Car List + Stats'!B584</f>
        <v>1974</v>
      </c>
      <c r="B584" s="6" t="str">
        <f>'Detailed Car List + Stats'!C584</f>
        <v>Toyota</v>
      </c>
      <c r="C584" s="6" t="str">
        <f>'Detailed Car List + Stats'!D584</f>
        <v>Celica GT</v>
      </c>
      <c r="D584" s="6" t="str">
        <f>'Detailed Car List + Stats'!E584</f>
        <v>Classic Sports Cars</v>
      </c>
      <c r="E584" s="6" t="s">
        <v>31</v>
      </c>
      <c r="F584" s="6" t="str">
        <f>'Detailed Car List + Stats'!G584</f>
        <v>Japan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6.5" customHeight="1">
      <c r="A585" s="6" t="str">
        <f>'Detailed Car List + Stats'!B585</f>
        <v>1992</v>
      </c>
      <c r="B585" s="6" t="str">
        <f>'Detailed Car List + Stats'!C585</f>
        <v>Toyota</v>
      </c>
      <c r="C585" s="6" t="str">
        <f>'Detailed Car List + Stats'!D585</f>
        <v>Celica GT-Four RC ST185</v>
      </c>
      <c r="D585" s="6" t="str">
        <f>'Detailed Car List + Stats'!E585</f>
        <v>Retro Rally</v>
      </c>
      <c r="E585" s="6" t="s">
        <v>28</v>
      </c>
      <c r="F585" s="6" t="str">
        <f>'Detailed Car List + Stats'!G585</f>
        <v>Japan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6.5" customHeight="1">
      <c r="A586" s="6" t="str">
        <f>'Detailed Car List + Stats'!B586</f>
        <v>1994</v>
      </c>
      <c r="B586" s="6" t="str">
        <f>'Detailed Car List + Stats'!C586</f>
        <v>Toyota</v>
      </c>
      <c r="C586" s="6" t="str">
        <f>'Detailed Car List + Stats'!D586</f>
        <v>Celica GT-Four ST205</v>
      </c>
      <c r="D586" s="6" t="str">
        <f>'Detailed Car List + Stats'!E586</f>
        <v>Retro Rally</v>
      </c>
      <c r="E586" s="6" t="s">
        <v>28</v>
      </c>
      <c r="F586" s="6" t="str">
        <f>'Detailed Car List + Stats'!G586</f>
        <v>Japan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6.5" customHeight="1">
      <c r="A587" s="6" t="str">
        <f>'Detailed Car List + Stats'!B587</f>
        <v>2003</v>
      </c>
      <c r="B587" s="6" t="str">
        <f>'Detailed Car List + Stats'!C587</f>
        <v>Toyota</v>
      </c>
      <c r="C587" s="6" t="str">
        <f>'Detailed Car List + Stats'!D587</f>
        <v>Celica Sport Specialty II</v>
      </c>
      <c r="D587" s="6" t="str">
        <f>'Detailed Car List + Stats'!E587</f>
        <v>Retro Sports Cars</v>
      </c>
      <c r="E587" s="6" t="s">
        <v>28</v>
      </c>
      <c r="F587" s="6" t="str">
        <f>'Detailed Car List + Stats'!G587</f>
        <v>Japan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6.5" customHeight="1">
      <c r="A588" s="6" t="str">
        <f>'Detailed Car List + Stats'!B588</f>
        <v>1997</v>
      </c>
      <c r="B588" s="6" t="str">
        <f>'Detailed Car List + Stats'!C588</f>
        <v>Toyota</v>
      </c>
      <c r="C588" s="6" t="str">
        <f>'Detailed Car List + Stats'!D588</f>
        <v>Chaser 2.5 Tourer V</v>
      </c>
      <c r="D588" s="6" t="str">
        <f>'Detailed Car List + Stats'!E588</f>
        <v>Retro Super Saloons</v>
      </c>
      <c r="E588" s="6" t="s">
        <v>35</v>
      </c>
      <c r="F588" s="6" t="str">
        <f>'Detailed Car List + Stats'!G588</f>
        <v>Japan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6.5" customHeight="1">
      <c r="A589" s="6" t="str">
        <f>'Detailed Car List + Stats'!B589</f>
        <v>1991</v>
      </c>
      <c r="B589" s="6" t="str">
        <f>'Detailed Car List + Stats'!C589</f>
        <v>Toyota</v>
      </c>
      <c r="C589" s="6" t="str">
        <f>'Detailed Car List + Stats'!D589</f>
        <v>Chaser GT Twin Turbo</v>
      </c>
      <c r="D589" s="6" t="str">
        <f>'Detailed Car List + Stats'!E589</f>
        <v>Retro Super Saloons</v>
      </c>
      <c r="E589" s="6" t="s">
        <v>28</v>
      </c>
      <c r="F589" s="6" t="str">
        <f>'Detailed Car List + Stats'!G589</f>
        <v>Japan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6.5" customHeight="1">
      <c r="A590" s="6" t="str">
        <f>'Detailed Car List + Stats'!B590</f>
        <v>1974</v>
      </c>
      <c r="B590" s="6" t="str">
        <f>'Detailed Car List + Stats'!C590</f>
        <v>Toyota</v>
      </c>
      <c r="C590" s="6" t="str">
        <f>'Detailed Car List + Stats'!D590</f>
        <v>Corolla SR5</v>
      </c>
      <c r="D590" s="6" t="str">
        <f>'Detailed Car List + Stats'!E590</f>
        <v>Classic Sports Cars</v>
      </c>
      <c r="E590" s="6" t="s">
        <v>31</v>
      </c>
      <c r="F590" s="6" t="str">
        <f>'Detailed Car List + Stats'!G590</f>
        <v>Japan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6.5" customHeight="1">
      <c r="A591" s="6" t="str">
        <f>'Detailed Car List + Stats'!B591</f>
        <v>2005</v>
      </c>
      <c r="B591" s="6" t="str">
        <f>'Detailed Car List + Stats'!C591</f>
        <v>Toyota</v>
      </c>
      <c r="C591" s="6" t="str">
        <f>'Detailed Car List + Stats'!D591</f>
        <v>Crown Super Deluxe Taxi</v>
      </c>
      <c r="D591" s="6" t="str">
        <f>'Detailed Car List + Stats'!E591</f>
        <v>Retro Super Saloons</v>
      </c>
      <c r="E591" s="6" t="s">
        <v>31</v>
      </c>
      <c r="F591" s="6" t="str">
        <f>'Detailed Car List + Stats'!G591</f>
        <v>Japan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6.5" customHeight="1">
      <c r="A592" s="6" t="str">
        <f>'Detailed Car List + Stats'!B592</f>
        <v>1979</v>
      </c>
      <c r="B592" s="6" t="str">
        <f>'Detailed Car List + Stats'!C592</f>
        <v>Toyota</v>
      </c>
      <c r="C592" s="6" t="str">
        <f>'Detailed Car List + Stats'!D592</f>
        <v>FJ40</v>
      </c>
      <c r="D592" s="6" t="str">
        <f>'Detailed Car List + Stats'!E592</f>
        <v>Pickups &amp; 4x4s</v>
      </c>
      <c r="E592" s="6" t="s">
        <v>31</v>
      </c>
      <c r="F592" s="6" t="str">
        <f>'Detailed Car List + Stats'!G592</f>
        <v>Japan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6.5" customHeight="1">
      <c r="A593" s="6" t="str">
        <f>'Detailed Car List + Stats'!B593</f>
        <v>2023</v>
      </c>
      <c r="B593" s="6" t="str">
        <f>'Detailed Car List + Stats'!C593</f>
        <v>Toyota</v>
      </c>
      <c r="C593" s="6" t="str">
        <f>'Detailed Car List + Stats'!D593</f>
        <v>GR Corolla</v>
      </c>
      <c r="D593" s="6" t="str">
        <f>'Detailed Car List + Stats'!E593</f>
        <v>Super Hot Hatch</v>
      </c>
      <c r="E593" s="6" t="s">
        <v>35</v>
      </c>
      <c r="F593" s="6" t="str">
        <f>'Detailed Car List + Stats'!G593</f>
        <v>Japan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6.5" customHeight="1">
      <c r="A594" s="6" t="str">
        <f>'Detailed Car List + Stats'!B594</f>
        <v>2020</v>
      </c>
      <c r="B594" s="6" t="str">
        <f>'Detailed Car List + Stats'!C594</f>
        <v>Toyota</v>
      </c>
      <c r="C594" s="6" t="str">
        <f>'Detailed Car List + Stats'!D594</f>
        <v>GR Supra</v>
      </c>
      <c r="D594" s="6" t="str">
        <f>'Detailed Car List + Stats'!E594</f>
        <v>Modern Sports Cars</v>
      </c>
      <c r="E594" s="6" t="s">
        <v>78</v>
      </c>
      <c r="F594" s="6" t="str">
        <f>'Detailed Car List + Stats'!G594</f>
        <v>Japan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6.5" customHeight="1">
      <c r="A595" s="6" t="str">
        <f>'Detailed Car List + Stats'!B595</f>
        <v>2021</v>
      </c>
      <c r="B595" s="6" t="str">
        <f>'Detailed Car List + Stats'!C595</f>
        <v>Toyota</v>
      </c>
      <c r="C595" s="6" t="str">
        <f>'Detailed Car List + Stats'!D595</f>
        <v>GR Yaris</v>
      </c>
      <c r="D595" s="6" t="str">
        <f>'Detailed Car List + Stats'!E595</f>
        <v>Modern Rally</v>
      </c>
      <c r="E595" s="6" t="s">
        <v>35</v>
      </c>
      <c r="F595" s="6" t="str">
        <f>'Detailed Car List + Stats'!G595</f>
        <v>Japan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6.5" customHeight="1">
      <c r="A596" s="6" t="str">
        <f>'Detailed Car List + Stats'!B596</f>
        <v>2022</v>
      </c>
      <c r="B596" s="6" t="str">
        <f>'Detailed Car List + Stats'!C596</f>
        <v>Toyota</v>
      </c>
      <c r="C596" s="6" t="str">
        <f>'Detailed Car List + Stats'!D596</f>
        <v>GR86</v>
      </c>
      <c r="D596" s="6" t="str">
        <f>'Detailed Car List + Stats'!E596</f>
        <v>Modern Sports Cars</v>
      </c>
      <c r="E596" s="6" t="s">
        <v>35</v>
      </c>
      <c r="F596" s="6" t="str">
        <f>'Detailed Car List + Stats'!G596</f>
        <v>Japan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6.5" customHeight="1">
      <c r="A597" s="6" t="str">
        <f>'Detailed Car List + Stats'!B597</f>
        <v>1995</v>
      </c>
      <c r="B597" s="6" t="str">
        <f>'Detailed Car List + Stats'!C597</f>
        <v>Toyota</v>
      </c>
      <c r="C597" s="6" t="str">
        <f>'Detailed Car List + Stats'!D597</f>
        <v>J&amp;J Motorsport Supra WTAC</v>
      </c>
      <c r="D597" s="6" t="str">
        <f>'Detailed Car List + Stats'!E597</f>
        <v>Extreme Track Toys</v>
      </c>
      <c r="E597" s="6" t="s">
        <v>138</v>
      </c>
      <c r="F597" s="6" t="str">
        <f>'Detailed Car List + Stats'!G597</f>
        <v>Japan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6.5" customHeight="1">
      <c r="A598" s="6" t="str">
        <f>'Detailed Car List + Stats'!B598</f>
        <v>2017</v>
      </c>
      <c r="B598" s="6" t="str">
        <f>'Detailed Car List + Stats'!C598</f>
        <v>Toyota</v>
      </c>
      <c r="C598" s="6" t="str">
        <f>'Detailed Car List + Stats'!D598</f>
        <v>JPN Taxi</v>
      </c>
      <c r="D598" s="6" t="str">
        <f>'Detailed Car List + Stats'!E598</f>
        <v>Eclectic Domestics</v>
      </c>
      <c r="E598" s="6" t="s">
        <v>31</v>
      </c>
      <c r="F598" s="6" t="str">
        <f>'Detailed Car List + Stats'!G598</f>
        <v>Japan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6.5" customHeight="1">
      <c r="A599" s="6" t="str">
        <f>'Detailed Car List + Stats'!B599</f>
        <v>2025</v>
      </c>
      <c r="B599" s="6" t="str">
        <f>'Detailed Car List + Stats'!C599</f>
        <v>Toyota</v>
      </c>
      <c r="C599" s="6" t="str">
        <f>'Detailed Car List + Stats'!D599</f>
        <v>Land Cruiser</v>
      </c>
      <c r="D599" s="6" t="str">
        <f>'Detailed Car List + Stats'!E599</f>
        <v>Sports Utility Heroes</v>
      </c>
      <c r="E599" s="6" t="s">
        <v>28</v>
      </c>
      <c r="F599" s="6" t="str">
        <f>'Detailed Car List + Stats'!G599</f>
        <v>Japan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6.5" customHeight="1">
      <c r="A600" s="6" t="str">
        <f>'Detailed Car List + Stats'!B600</f>
        <v>2016</v>
      </c>
      <c r="B600" s="6" t="str">
        <f>'Detailed Car List + Stats'!C600</f>
        <v>Toyota</v>
      </c>
      <c r="C600" s="6" t="str">
        <f>'Detailed Car List + Stats'!D600</f>
        <v>Land Cruiser Arctic Trucks AT37</v>
      </c>
      <c r="D600" s="6" t="str">
        <f>'Detailed Car List + Stats'!E600</f>
        <v>Pickups &amp; 4x4s</v>
      </c>
      <c r="E600" s="6" t="s">
        <v>31</v>
      </c>
      <c r="F600" s="6" t="str">
        <f>'Detailed Car List + Stats'!G600</f>
        <v>Japan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6.5" customHeight="1">
      <c r="A601" s="6" t="str">
        <f>'Detailed Car List + Stats'!B601</f>
        <v>1995</v>
      </c>
      <c r="B601" s="6" t="str">
        <f>'Detailed Car List + Stats'!C601</f>
        <v>Toyota</v>
      </c>
      <c r="C601" s="6" t="str">
        <f>'Detailed Car List + Stats'!D601</f>
        <v>MR2 GT</v>
      </c>
      <c r="D601" s="6" t="str">
        <f>'Detailed Car List + Stats'!E601</f>
        <v>Retro Sports Cars</v>
      </c>
      <c r="E601" s="6" t="s">
        <v>35</v>
      </c>
      <c r="F601" s="6" t="str">
        <f>'Detailed Car List + Stats'!G601</f>
        <v>Japan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6.5" customHeight="1">
      <c r="A602" s="6" t="str">
        <f>'Detailed Car List + Stats'!B602</f>
        <v>1989</v>
      </c>
      <c r="B602" s="6" t="str">
        <f>'Detailed Car List + Stats'!C602</f>
        <v>Toyota</v>
      </c>
      <c r="C602" s="6" t="str">
        <f>'Detailed Car List + Stats'!D602</f>
        <v>MR2 SC</v>
      </c>
      <c r="D602" s="6" t="str">
        <f>'Detailed Car List + Stats'!E602</f>
        <v>Retro Sports Cars</v>
      </c>
      <c r="E602" s="6" t="s">
        <v>31</v>
      </c>
      <c r="F602" s="6" t="str">
        <f>'Detailed Car List + Stats'!G602</f>
        <v>Japan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6.5" customHeight="1">
      <c r="A603" s="6" t="str">
        <f>'Detailed Car List + Stats'!B603</f>
        <v>2024</v>
      </c>
      <c r="B603" s="6" t="str">
        <f>'Detailed Car List + Stats'!C603</f>
        <v>Toyota</v>
      </c>
      <c r="C603" s="6" t="str">
        <f>'Detailed Car List + Stats'!D603</f>
        <v>Prius Prime XSE Premium</v>
      </c>
      <c r="D603" s="6" t="str">
        <f>'Detailed Car List + Stats'!E603</f>
        <v>Hot Hatch</v>
      </c>
      <c r="E603" s="6" t="s">
        <v>28</v>
      </c>
      <c r="F603" s="6" t="str">
        <f>'Detailed Car List + Stats'!G603</f>
        <v>Japan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6.5" customHeight="1">
      <c r="A604" s="6" t="str">
        <f>'Detailed Car List + Stats'!B604</f>
        <v>1991</v>
      </c>
      <c r="B604" s="6" t="str">
        <f>'Detailed Car List + Stats'!C604</f>
        <v>Toyota</v>
      </c>
      <c r="C604" s="6" t="str">
        <f>'Detailed Car List + Stats'!D604</f>
        <v>Sera</v>
      </c>
      <c r="D604" s="6" t="str">
        <f>'Detailed Car List + Stats'!E604</f>
        <v>Eclectic Domestics</v>
      </c>
      <c r="E604" s="6" t="s">
        <v>31</v>
      </c>
      <c r="F604" s="6" t="str">
        <f>'Detailed Car List + Stats'!G604</f>
        <v>Japan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6.5" customHeight="1">
      <c r="A605" s="6" t="str">
        <f>'Detailed Car List + Stats'!B605</f>
        <v>1997</v>
      </c>
      <c r="B605" s="6" t="str">
        <f>'Detailed Car List + Stats'!C605</f>
        <v>Toyota</v>
      </c>
      <c r="C605" s="6" t="str">
        <f>'Detailed Car List + Stats'!D605</f>
        <v>Soarer 2.5 GT-T</v>
      </c>
      <c r="D605" s="6" t="str">
        <f>'Detailed Car List + Stats'!E605</f>
        <v>Retro Sports Cars</v>
      </c>
      <c r="E605" s="6" t="s">
        <v>28</v>
      </c>
      <c r="F605" s="6" t="str">
        <f>'Detailed Car List + Stats'!G605</f>
        <v>Japan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6.5" customHeight="1">
      <c r="A606" s="6" t="str">
        <f>'Detailed Car List + Stats'!B606</f>
        <v>1965</v>
      </c>
      <c r="B606" s="6" t="str">
        <f>'Detailed Car List + Stats'!C606</f>
        <v>Toyota</v>
      </c>
      <c r="C606" s="6" t="str">
        <f>'Detailed Car List + Stats'!D606</f>
        <v>Sports 800</v>
      </c>
      <c r="D606" s="6" t="str">
        <f>'Detailed Car List + Stats'!E606</f>
        <v>Classic Sports Cars</v>
      </c>
      <c r="E606" s="6" t="s">
        <v>31</v>
      </c>
      <c r="F606" s="6" t="str">
        <f>'Detailed Car List + Stats'!G606</f>
        <v>Japan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6.5" customHeight="1">
      <c r="A607" s="6" t="str">
        <f>'Detailed Car List + Stats'!B607</f>
        <v>1965</v>
      </c>
      <c r="B607" s="6" t="str">
        <f>'Detailed Car List + Stats'!C607</f>
        <v>Toyota</v>
      </c>
      <c r="C607" s="6" t="str">
        <f>'Detailed Car List + Stats'!D607</f>
        <v>Sports 800 Fanta Edition</v>
      </c>
      <c r="D607" s="6" t="str">
        <f>'Detailed Car List + Stats'!E607</f>
        <v>Classic Sports Cars</v>
      </c>
      <c r="E607" s="6" t="s">
        <v>31</v>
      </c>
      <c r="F607" s="6" t="str">
        <f>'Detailed Car List + Stats'!G607</f>
        <v>Japan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6.5" customHeight="1">
      <c r="A608" s="6" t="str">
        <f>'Detailed Car List + Stats'!B608</f>
        <v>1985</v>
      </c>
      <c r="B608" s="6" t="str">
        <f>'Detailed Car List + Stats'!C608</f>
        <v>Toyota</v>
      </c>
      <c r="C608" s="6" t="str">
        <f>'Detailed Car List + Stats'!D608</f>
        <v>Sprinter Trueno GT Apex</v>
      </c>
      <c r="D608" s="6" t="str">
        <f>'Detailed Car List + Stats'!E608</f>
        <v>Retro Sports Cars</v>
      </c>
      <c r="E608" s="6" t="s">
        <v>31</v>
      </c>
      <c r="F608" s="6" t="str">
        <f>'Detailed Car List + Stats'!G608</f>
        <v>Japan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6.5" customHeight="1">
      <c r="A609" s="6" t="str">
        <f>'Detailed Car List + Stats'!B609</f>
        <v>1985</v>
      </c>
      <c r="B609" s="6" t="str">
        <f>'Detailed Car List + Stats'!C609</f>
        <v>Toyota</v>
      </c>
      <c r="C609" s="6" t="str">
        <f>'Detailed Car List + Stats'!D609</f>
        <v>Sprinter Trueno GT Apex Forza Edition</v>
      </c>
      <c r="D609" s="6" t="str">
        <f>'Detailed Car List + Stats'!E609</f>
        <v>Track Toys</v>
      </c>
      <c r="E609" s="6" t="s">
        <v>35</v>
      </c>
      <c r="F609" s="6" t="str">
        <f>'Detailed Car List + Stats'!G609</f>
        <v>Japan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6.5" customHeight="1">
      <c r="A610" s="6" t="str">
        <f>'Detailed Car List + Stats'!B610</f>
        <v>1996</v>
      </c>
      <c r="B610" s="6" t="str">
        <f>'Detailed Car List + Stats'!C610</f>
        <v>Toyota</v>
      </c>
      <c r="C610" s="6" t="str">
        <f>'Detailed Car List + Stats'!D610</f>
        <v>Starlet Glanza V</v>
      </c>
      <c r="D610" s="6" t="str">
        <f>'Detailed Car List + Stats'!E610</f>
        <v>Retro Hot Hatch</v>
      </c>
      <c r="E610" s="6" t="s">
        <v>28</v>
      </c>
      <c r="F610" s="6" t="str">
        <f>'Detailed Car List + Stats'!G610</f>
        <v>Japan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6.5" customHeight="1">
      <c r="A611" s="6" t="str">
        <f>'Detailed Car List + Stats'!B611</f>
        <v>1992</v>
      </c>
      <c r="B611" s="6" t="str">
        <f>'Detailed Car List + Stats'!C611</f>
        <v>Toyota</v>
      </c>
      <c r="C611" s="6" t="str">
        <f>'Detailed Car List + Stats'!D611</f>
        <v>Supra 2.0 GT</v>
      </c>
      <c r="D611" s="6" t="str">
        <f>'Detailed Car List + Stats'!E611</f>
        <v>Retro Sports Cars</v>
      </c>
      <c r="E611" s="6" t="s">
        <v>28</v>
      </c>
      <c r="F611" s="6" t="str">
        <f>'Detailed Car List + Stats'!G611</f>
        <v>Japan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6.5" customHeight="1">
      <c r="A612" s="6" t="str">
        <f>'Detailed Car List + Stats'!B612</f>
        <v>1998</v>
      </c>
      <c r="B612" s="6" t="str">
        <f>'Detailed Car List + Stats'!C612</f>
        <v>Toyota</v>
      </c>
      <c r="C612" s="6" t="str">
        <f>'Detailed Car List + Stats'!D612</f>
        <v>Supra RZ</v>
      </c>
      <c r="D612" s="6" t="str">
        <f>'Detailed Car List + Stats'!E612</f>
        <v>Retro Sports Cars</v>
      </c>
      <c r="E612" s="6" t="s">
        <v>35</v>
      </c>
      <c r="F612" s="6" t="str">
        <f>'Detailed Car List + Stats'!G612</f>
        <v>Japan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6.5" customHeight="1">
      <c r="A613" s="6" t="str">
        <f>'Detailed Car List + Stats'!B613</f>
        <v>2019</v>
      </c>
      <c r="B613" s="6" t="str">
        <f>'Detailed Car List + Stats'!C613</f>
        <v>Toyota</v>
      </c>
      <c r="C613" s="6" t="str">
        <f>'Detailed Car List + Stats'!D613</f>
        <v>Tacoma TRD Pro</v>
      </c>
      <c r="D613" s="6" t="str">
        <f>'Detailed Car List + Stats'!E613</f>
        <v>Pickups &amp; 4x4s</v>
      </c>
      <c r="E613" s="6" t="s">
        <v>28</v>
      </c>
      <c r="F613" s="6" t="str">
        <f>'Detailed Car List + Stats'!G613</f>
        <v>Japan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6.5" customHeight="1">
      <c r="A614" s="6" t="str">
        <f>'Detailed Car List + Stats'!B614</f>
        <v>2019</v>
      </c>
      <c r="B614" s="6" t="str">
        <f>'Detailed Car List + Stats'!C614</f>
        <v>Toyota</v>
      </c>
      <c r="C614" s="6" t="str">
        <f>'Detailed Car List + Stats'!D614</f>
        <v>Tacoma TRD Pro Forza Edition</v>
      </c>
      <c r="D614" s="6" t="str">
        <f>'Detailed Car List + Stats'!E614</f>
        <v>Extreme Track Toys</v>
      </c>
      <c r="E614" s="6" t="s">
        <v>108</v>
      </c>
      <c r="F614" s="6" t="str">
        <f>'Detailed Car List + Stats'!G614</f>
        <v>Japan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6.5" customHeight="1">
      <c r="A615" s="6" t="str">
        <f>'Detailed Car List + Stats'!B615</f>
        <v>1998</v>
      </c>
      <c r="B615" s="6" t="str">
        <f>'Detailed Car List + Stats'!C615</f>
        <v>TVR</v>
      </c>
      <c r="C615" s="6" t="str">
        <f>'Detailed Car List + Stats'!D615</f>
        <v>Cerbera Speed 12</v>
      </c>
      <c r="D615" s="6" t="str">
        <f>'Detailed Car List + Stats'!E615</f>
        <v>Retro Supercars</v>
      </c>
      <c r="E615" s="6" t="s">
        <v>53</v>
      </c>
      <c r="F615" s="6" t="str">
        <f>'Detailed Car List + Stats'!G615</f>
        <v>UK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6.5" customHeight="1">
      <c r="A616" s="6" t="str">
        <f>'Detailed Car List + Stats'!B616</f>
        <v>2018</v>
      </c>
      <c r="B616" s="6" t="str">
        <f>'Detailed Car List + Stats'!C616</f>
        <v>TVR</v>
      </c>
      <c r="C616" s="6" t="str">
        <f>'Detailed Car List + Stats'!D616</f>
        <v>Griffith</v>
      </c>
      <c r="D616" s="6" t="str">
        <f>'Detailed Car List + Stats'!E616</f>
        <v>Modern Sports Cars</v>
      </c>
      <c r="E616" s="6" t="s">
        <v>53</v>
      </c>
      <c r="F616" s="6" t="str">
        <f>'Detailed Car List + Stats'!G616</f>
        <v>UK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6.5" customHeight="1">
      <c r="A617" s="6" t="str">
        <f>'Detailed Car List + Stats'!B617</f>
        <v>2005</v>
      </c>
      <c r="B617" s="6" t="str">
        <f>'Detailed Car List + Stats'!C617</f>
        <v>TVR</v>
      </c>
      <c r="C617" s="6" t="str">
        <f>'Detailed Car List + Stats'!D617</f>
        <v>Sagaris</v>
      </c>
      <c r="D617" s="6" t="str">
        <f>'Detailed Car List + Stats'!E617</f>
        <v>Retro Sports Cars</v>
      </c>
      <c r="E617" s="6" t="s">
        <v>78</v>
      </c>
      <c r="F617" s="6" t="str">
        <f>'Detailed Car List + Stats'!G617</f>
        <v>UK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6.5" customHeight="1">
      <c r="A618" s="6" t="str">
        <f>'Detailed Car List + Stats'!B618</f>
        <v>2015</v>
      </c>
      <c r="B618" s="6" t="str">
        <f>'Detailed Car List + Stats'!C618</f>
        <v>Ultima</v>
      </c>
      <c r="C618" s="6" t="str">
        <f>'Detailed Car List + Stats'!D618</f>
        <v>Evolution Coupe 1020</v>
      </c>
      <c r="D618" s="6" t="str">
        <f>'Detailed Car List + Stats'!E618</f>
        <v>Extreme Track Toys</v>
      </c>
      <c r="E618" s="6" t="s">
        <v>108</v>
      </c>
      <c r="F618" s="6" t="str">
        <f>'Detailed Car List + Stats'!G618</f>
        <v>UK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6.5" customHeight="1">
      <c r="A619" s="6" t="str">
        <f>'Detailed Car List + Stats'!B619</f>
        <v>2017</v>
      </c>
      <c r="B619" s="6" t="str">
        <f>'Detailed Car List + Stats'!C619</f>
        <v>Volkswagen</v>
      </c>
      <c r="C619" s="6" t="str">
        <f>'Detailed Car List + Stats'!D619</f>
        <v>#34 Andretti Rally Cross Beetle</v>
      </c>
      <c r="D619" s="6" t="str">
        <f>'Detailed Car List + Stats'!E619</f>
        <v>Rally Monsters</v>
      </c>
      <c r="E619" s="6" t="s">
        <v>53</v>
      </c>
      <c r="F619" s="6" t="str">
        <f>'Detailed Car List + Stats'!G619</f>
        <v>Germany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6.5" customHeight="1">
      <c r="A620" s="6" t="str">
        <f>'Detailed Car List + Stats'!B620</f>
        <v>1963</v>
      </c>
      <c r="B620" s="6" t="str">
        <f>'Detailed Car List + Stats'!C620</f>
        <v>Volkswagen</v>
      </c>
      <c r="C620" s="6" t="str">
        <f>'Detailed Car List + Stats'!D620</f>
        <v>Beetle</v>
      </c>
      <c r="D620" s="6" t="str">
        <f>'Detailed Car List + Stats'!E620</f>
        <v>Cult Cars</v>
      </c>
      <c r="E620" s="6" t="s">
        <v>31</v>
      </c>
      <c r="F620" s="6" t="str">
        <f>'Detailed Car List + Stats'!G620</f>
        <v>Germany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6.5" customHeight="1">
      <c r="A621" s="6" t="str">
        <f>'Detailed Car List + Stats'!B621</f>
        <v>1969</v>
      </c>
      <c r="B621" s="6" t="str">
        <f>'Detailed Car List + Stats'!C621</f>
        <v>Volkswagen</v>
      </c>
      <c r="C621" s="6" t="str">
        <f>'Detailed Car List + Stats'!D621</f>
        <v>Class 5/1600 Baja Bug</v>
      </c>
      <c r="D621" s="6" t="str">
        <f>'Detailed Car List + Stats'!E621</f>
        <v>Buggies</v>
      </c>
      <c r="E621" s="6" t="s">
        <v>31</v>
      </c>
      <c r="F621" s="6" t="str">
        <f>'Detailed Car List + Stats'!G621</f>
        <v>Germany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6.5" customHeight="1">
      <c r="A622" s="6" t="str">
        <f>'Detailed Car List + Stats'!B622</f>
        <v>1995</v>
      </c>
      <c r="B622" s="6" t="str">
        <f>'Detailed Car List + Stats'!C622</f>
        <v>Volkswagen</v>
      </c>
      <c r="C622" s="6" t="str">
        <f>'Detailed Car List + Stats'!D622</f>
        <v>Corrado VR6</v>
      </c>
      <c r="D622" s="6" t="str">
        <f>'Detailed Car List + Stats'!E622</f>
        <v>Retro Hot Hatch</v>
      </c>
      <c r="E622" s="6" t="s">
        <v>28</v>
      </c>
      <c r="F622" s="6" t="str">
        <f>'Detailed Car List + Stats'!G622</f>
        <v>Germany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6.5" customHeight="1">
      <c r="A623" s="6" t="str">
        <f>'Detailed Car List + Stats'!B623</f>
        <v>1983</v>
      </c>
      <c r="B623" s="6" t="str">
        <f>'Detailed Car List + Stats'!C623</f>
        <v>Volkswagen</v>
      </c>
      <c r="C623" s="6" t="str">
        <f>'Detailed Car List + Stats'!D623</f>
        <v>Golf GTI</v>
      </c>
      <c r="D623" s="6" t="str">
        <f>'Detailed Car List + Stats'!E623</f>
        <v>Retro Hot Hatch</v>
      </c>
      <c r="E623" s="6" t="s">
        <v>31</v>
      </c>
      <c r="F623" s="6" t="str">
        <f>'Detailed Car List + Stats'!G623</f>
        <v>Germany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6.5" customHeight="1">
      <c r="A624" s="6" t="str">
        <f>'Detailed Car List + Stats'!B624</f>
        <v>1992</v>
      </c>
      <c r="B624" s="6" t="str">
        <f>'Detailed Car List + Stats'!C624</f>
        <v>Volkswagen</v>
      </c>
      <c r="C624" s="6" t="str">
        <f>'Detailed Car List + Stats'!D624</f>
        <v>Golf Gti 16v Mk 2</v>
      </c>
      <c r="D624" s="6" t="str">
        <f>'Detailed Car List + Stats'!E624</f>
        <v>Retro Hot Hatch</v>
      </c>
      <c r="E624" s="6" t="s">
        <v>31</v>
      </c>
      <c r="F624" s="6" t="str">
        <f>'Detailed Car List + Stats'!G624</f>
        <v>Germany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6.5" customHeight="1">
      <c r="A625" s="6" t="str">
        <f>'Detailed Car List + Stats'!B625</f>
        <v>2010</v>
      </c>
      <c r="B625" s="6" t="str">
        <f>'Detailed Car List + Stats'!C625</f>
        <v>Volkswagen</v>
      </c>
      <c r="C625" s="6" t="str">
        <f>'Detailed Car List + Stats'!D625</f>
        <v>Golf R</v>
      </c>
      <c r="D625" s="6" t="str">
        <f>'Detailed Car List + Stats'!E625</f>
        <v>Super Hot Hatch</v>
      </c>
      <c r="E625" s="6" t="s">
        <v>35</v>
      </c>
      <c r="F625" s="6" t="str">
        <f>'Detailed Car List + Stats'!G625</f>
        <v>Germany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6.5" customHeight="1">
      <c r="A626" s="6" t="str">
        <f>'Detailed Car List + Stats'!B626</f>
        <v>2014</v>
      </c>
      <c r="B626" s="6" t="str">
        <f>'Detailed Car List + Stats'!C626</f>
        <v>Volkswagen</v>
      </c>
      <c r="C626" s="6" t="str">
        <f>'Detailed Car List + Stats'!D626</f>
        <v>Golf R</v>
      </c>
      <c r="D626" s="6" t="str">
        <f>'Detailed Car List + Stats'!E626</f>
        <v>Super Hot Hatch</v>
      </c>
      <c r="E626" s="6" t="s">
        <v>35</v>
      </c>
      <c r="F626" s="6" t="str">
        <f>'Detailed Car List + Stats'!G626</f>
        <v>Germany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6.5" customHeight="1">
      <c r="A627" s="6" t="str">
        <f>'Detailed Car List + Stats'!B627</f>
        <v>2021</v>
      </c>
      <c r="B627" s="6" t="str">
        <f>'Detailed Car List + Stats'!C627</f>
        <v>Volkswagen</v>
      </c>
      <c r="C627" s="6" t="str">
        <f>'Detailed Car List + Stats'!D627</f>
        <v>Golf R</v>
      </c>
      <c r="D627" s="6" t="str">
        <f>'Detailed Car List + Stats'!E627</f>
        <v>Super Hot Hatch</v>
      </c>
      <c r="E627" s="6" t="s">
        <v>35</v>
      </c>
      <c r="F627" s="6" t="str">
        <f>'Detailed Car List + Stats'!G627</f>
        <v>Germany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6.5" customHeight="1">
      <c r="A628" s="6" t="str">
        <f>'Detailed Car List + Stats'!B628</f>
        <v>2022</v>
      </c>
      <c r="B628" s="6" t="str">
        <f>'Detailed Car List + Stats'!C628</f>
        <v>Volkswagen</v>
      </c>
      <c r="C628" s="6" t="str">
        <f>'Detailed Car List + Stats'!D628</f>
        <v>Golf R</v>
      </c>
      <c r="D628" s="6" t="str">
        <f>'Detailed Car List + Stats'!E628</f>
        <v>Super Hot Hatch</v>
      </c>
      <c r="E628" s="6" t="s">
        <v>35</v>
      </c>
      <c r="F628" s="6" t="str">
        <f>'Detailed Car List + Stats'!G628</f>
        <v>Germany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6.5" customHeight="1">
      <c r="A629" s="6" t="str">
        <f>'Detailed Car List + Stats'!B629</f>
        <v>1982</v>
      </c>
      <c r="B629" s="6" t="str">
        <f>'Detailed Car List + Stats'!C629</f>
        <v>Volkswagen</v>
      </c>
      <c r="C629" s="6" t="str">
        <f>'Detailed Car List + Stats'!D629</f>
        <v>Pickup LX</v>
      </c>
      <c r="D629" s="6" t="str">
        <f>'Detailed Car List + Stats'!E629</f>
        <v>Utility Heroes</v>
      </c>
      <c r="E629" s="6" t="s">
        <v>31</v>
      </c>
      <c r="F629" s="6" t="str">
        <f>'Detailed Car List + Stats'!G629</f>
        <v>Germany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6.5" customHeight="1">
      <c r="A630" s="6" t="str">
        <f>'Detailed Car List + Stats'!B630</f>
        <v>1989</v>
      </c>
      <c r="B630" s="6" t="str">
        <f>'Detailed Car List + Stats'!C630</f>
        <v>Volkswagen</v>
      </c>
      <c r="C630" s="6" t="str">
        <f>'Detailed Car List + Stats'!D630</f>
        <v>Rallye Golf</v>
      </c>
      <c r="D630" s="6" t="str">
        <f>'Detailed Car List + Stats'!E630</f>
        <v>Retro Rally</v>
      </c>
      <c r="E630" s="6" t="s">
        <v>28</v>
      </c>
      <c r="F630" s="6" t="str">
        <f>'Detailed Car List + Stats'!G630</f>
        <v>Germany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6.5" customHeight="1">
      <c r="A631" s="6" t="str">
        <f>'Detailed Car List + Stats'!B631</f>
        <v>2011</v>
      </c>
      <c r="B631" s="6" t="str">
        <f>'Detailed Car List + Stats'!C631</f>
        <v>Volkswagen</v>
      </c>
      <c r="C631" s="6" t="str">
        <f>'Detailed Car List + Stats'!D631</f>
        <v>Scirocco R</v>
      </c>
      <c r="D631" s="6" t="str">
        <f>'Detailed Car List + Stats'!E631</f>
        <v>Hot Hatch</v>
      </c>
      <c r="E631" s="6" t="s">
        <v>35</v>
      </c>
      <c r="F631" s="6" t="str">
        <f>'Detailed Car List + Stats'!G631</f>
        <v>Germany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6.5" customHeight="1">
      <c r="A632" s="6" t="str">
        <f>'Detailed Car List + Stats'!B632</f>
        <v>1963</v>
      </c>
      <c r="B632" s="6" t="str">
        <f>'Detailed Car List + Stats'!C632</f>
        <v>Volkswagen</v>
      </c>
      <c r="C632" s="6" t="str">
        <f>'Detailed Car List + Stats'!D632</f>
        <v>Type 2 De Luxe</v>
      </c>
      <c r="D632" s="6" t="str">
        <f>'Detailed Car List + Stats'!E632</f>
        <v>Cult Cars</v>
      </c>
      <c r="E632" s="6" t="s">
        <v>31</v>
      </c>
      <c r="F632" s="6" t="str">
        <f>'Detailed Car List + Stats'!G632</f>
        <v>Germany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6.5" customHeight="1">
      <c r="A633" s="6" t="str">
        <f>'Detailed Car List + Stats'!B633</f>
        <v>1983</v>
      </c>
      <c r="B633" s="6" t="str">
        <f>'Detailed Car List + Stats'!C633</f>
        <v>Volvo</v>
      </c>
      <c r="C633" s="6" t="str">
        <f>'Detailed Car List + Stats'!D633</f>
        <v>242 Turbo Evolution</v>
      </c>
      <c r="D633" s="6" t="str">
        <f>'Detailed Car List + Stats'!E633</f>
        <v>Classic Rally</v>
      </c>
      <c r="E633" s="6" t="s">
        <v>28</v>
      </c>
      <c r="F633" s="6" t="str">
        <f>'Detailed Car List + Stats'!G633</f>
        <v>Sweden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6.5" customHeight="1">
      <c r="A634" s="6" t="str">
        <f>'Detailed Car List + Stats'!B634</f>
        <v>2022</v>
      </c>
      <c r="B634" s="6" t="str">
        <f>'Detailed Car List + Stats'!C634</f>
        <v>Wuling</v>
      </c>
      <c r="C634" s="6" t="str">
        <f>'Detailed Car List + Stats'!D634</f>
        <v>Hongguang Mini EV</v>
      </c>
      <c r="D634" s="6" t="str">
        <f>'Detailed Car List + Stats'!E634</f>
        <v>Hot Hatch</v>
      </c>
      <c r="E634" s="6" t="s">
        <v>31</v>
      </c>
      <c r="F634" s="6" t="str">
        <f>'Detailed Car List + Stats'!G634</f>
        <v>China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6.5" customHeight="1">
      <c r="A635" s="6" t="str">
        <f>'Detailed Car List + Stats'!B635</f>
        <v>2013</v>
      </c>
      <c r="B635" s="6" t="str">
        <f>'Detailed Car List + Stats'!C635</f>
        <v>Wuling</v>
      </c>
      <c r="C635" s="6" t="str">
        <f>'Detailed Car List + Stats'!D635</f>
        <v>Sunshine S</v>
      </c>
      <c r="D635" s="6" t="str">
        <f>'Detailed Car List + Stats'!E635</f>
        <v>Utility Heroes</v>
      </c>
      <c r="E635" s="6" t="s">
        <v>31</v>
      </c>
      <c r="F635" s="6" t="str">
        <f>'Detailed Car List + Stats'!G635</f>
        <v>China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6.5" customHeight="1">
      <c r="A636" s="6" t="str">
        <f>'Detailed Car List + Stats'!B636</f>
        <v>2013</v>
      </c>
      <c r="B636" s="6" t="str">
        <f>'Detailed Car List + Stats'!C636</f>
        <v>Wuling</v>
      </c>
      <c r="C636" s="6" t="str">
        <f>'Detailed Car List + Stats'!D636</f>
        <v>Sunshine S Forza Edition</v>
      </c>
      <c r="D636" s="6" t="str">
        <f>'Detailed Car List + Stats'!E636</f>
        <v>Track Toys</v>
      </c>
      <c r="E636" s="6" t="s">
        <v>53</v>
      </c>
      <c r="F636" s="6" t="str">
        <f>'Detailed Car List + Stats'!G636</f>
        <v>China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6.5" customHeight="1">
      <c r="A637" s="6" t="str">
        <f>'Detailed Car List + Stats'!B637</f>
        <v>2019</v>
      </c>
      <c r="B637" s="6" t="str">
        <f>'Detailed Car List + Stats'!C637</f>
        <v>Zenvo</v>
      </c>
      <c r="C637" s="6" t="str">
        <f>'Detailed Car List + Stats'!D637</f>
        <v>TSR-S</v>
      </c>
      <c r="D637" s="6" t="str">
        <f>'Detailed Car List + Stats'!E637</f>
        <v>Hypercars</v>
      </c>
      <c r="E637" s="6" t="s">
        <v>108</v>
      </c>
      <c r="F637" s="6" t="str">
        <f>'Detailed Car List + Stats'!G637</f>
        <v>Denmark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</sheetData>
  <autoFilter ref="$A$1:$F$988">
    <sortState ref="A1:F988">
      <sortCondition ref="B1:B988"/>
      <sortCondition ref="C1:C988"/>
      <sortCondition ref="A1:A98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22.88"/>
    <col customWidth="1" min="3" max="3" width="55.0"/>
    <col customWidth="1" min="4" max="4" width="19.5"/>
    <col customWidth="1" min="5" max="5" width="8.0"/>
    <col customWidth="1" min="6" max="6" width="10.0"/>
    <col customWidth="1" min="7" max="7" width="11.75"/>
    <col customWidth="1" min="8" max="8" width="11.63"/>
    <col customWidth="1" min="9" max="9" width="33.88"/>
    <col customWidth="1" min="10" max="10" width="20.75"/>
  </cols>
  <sheetData>
    <row r="1" ht="16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7</v>
      </c>
      <c r="H1" s="3" t="s">
        <v>8</v>
      </c>
      <c r="I1" s="1" t="s">
        <v>9</v>
      </c>
      <c r="J1" s="1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6.5" customHeight="1">
      <c r="A2" s="5" t="str">
        <f>'Detailed Car List + Stats'!B2</f>
        <v>2017</v>
      </c>
      <c r="B2" s="5" t="str">
        <f>'Detailed Car List + Stats'!C2</f>
        <v>Abarth</v>
      </c>
      <c r="C2" s="5" t="str">
        <f>'Detailed Car List + Stats'!D2</f>
        <v>124 Spider</v>
      </c>
      <c r="D2" s="5" t="str">
        <f>'Detailed Car List + Stats'!E2</f>
        <v>Modern Sports Cars</v>
      </c>
      <c r="E2" s="8" t="s">
        <v>25</v>
      </c>
      <c r="F2" s="5" t="str">
        <f>'Detailed Car List + Stats'!G2</f>
        <v>Italy</v>
      </c>
      <c r="G2" s="9">
        <f>'Detailed Car List + Stats'!H2</f>
        <v>250000</v>
      </c>
      <c r="H2" s="10" t="s">
        <v>27</v>
      </c>
      <c r="I2" s="5" t="str">
        <f>'Detailed Car List + Stats'!T2</f>
        <v>Seasonal</v>
      </c>
      <c r="J2" s="5" t="str">
        <f>'Detailed Car List + Stats'!U2</f>
        <v/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6.5" customHeight="1">
      <c r="A3" s="6" t="str">
        <f>'Detailed Car List + Stats'!B3</f>
        <v>1968</v>
      </c>
      <c r="B3" s="6" t="str">
        <f>'Detailed Car List + Stats'!C3</f>
        <v>Abarth</v>
      </c>
      <c r="C3" s="6" t="str">
        <f>'Detailed Car List + Stats'!D3</f>
        <v>595 Esseesse</v>
      </c>
      <c r="D3" s="6" t="str">
        <f>'Detailed Car List + Stats'!E3</f>
        <v>Cult Cars</v>
      </c>
      <c r="E3" s="17" t="s">
        <v>32</v>
      </c>
      <c r="F3" s="6" t="str">
        <f>'Detailed Car List + Stats'!G3</f>
        <v>Italy</v>
      </c>
      <c r="G3" s="19">
        <f>'Detailed Car List + Stats'!H3</f>
        <v>25000</v>
      </c>
      <c r="H3" s="20" t="s">
        <v>33</v>
      </c>
      <c r="I3" s="6" t="str">
        <f>'Detailed Car List + Stats'!T3</f>
        <v>Autoshow, Wheelspin</v>
      </c>
      <c r="J3" s="2" t="str">
        <f>'Detailed Car List + Stats'!U3</f>
        <v/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6.5" customHeight="1">
      <c r="A4" s="5" t="str">
        <f>'Detailed Car List + Stats'!B4</f>
        <v>2016</v>
      </c>
      <c r="B4" s="5" t="str">
        <f>'Detailed Car List + Stats'!C4</f>
        <v>Abarth</v>
      </c>
      <c r="C4" s="5" t="str">
        <f>'Detailed Car List + Stats'!D4</f>
        <v>695 Biposto</v>
      </c>
      <c r="D4" s="5" t="str">
        <f>'Detailed Car List + Stats'!E4</f>
        <v>Hot Hatch</v>
      </c>
      <c r="E4" s="25" t="s">
        <v>39</v>
      </c>
      <c r="F4" s="5" t="str">
        <f>'Detailed Car List + Stats'!G4</f>
        <v>Italy</v>
      </c>
      <c r="G4" s="9">
        <f>'Detailed Car List + Stats'!H4</f>
        <v>250000</v>
      </c>
      <c r="H4" s="20" t="s">
        <v>33</v>
      </c>
      <c r="I4" s="5" t="str">
        <f>'Detailed Car List + Stats'!T4</f>
        <v>Seasonal</v>
      </c>
      <c r="J4" s="21" t="str">
        <f>'Detailed Car List + Stats'!U4</f>
        <v/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6.5" customHeight="1">
      <c r="A5" s="6" t="str">
        <f>'Detailed Car List + Stats'!B5</f>
        <v>1980</v>
      </c>
      <c r="B5" s="6" t="str">
        <f>'Detailed Car List + Stats'!C5</f>
        <v>Abarth</v>
      </c>
      <c r="C5" s="6" t="str">
        <f>'Detailed Car List + Stats'!D5</f>
        <v>Fiat 131</v>
      </c>
      <c r="D5" s="6" t="str">
        <f>'Detailed Car List + Stats'!E5</f>
        <v>Classic Rally</v>
      </c>
      <c r="E5" s="17" t="s">
        <v>47</v>
      </c>
      <c r="F5" s="6" t="str">
        <f>'Detailed Car List + Stats'!G5</f>
        <v>Italy</v>
      </c>
      <c r="G5" s="19">
        <f>'Detailed Car List + Stats'!H5</f>
        <v>125000</v>
      </c>
      <c r="H5" s="20" t="s">
        <v>33</v>
      </c>
      <c r="I5" s="6" t="str">
        <f>'Detailed Car List + Stats'!T5</f>
        <v>Autoshow, Wheelspin</v>
      </c>
      <c r="J5" s="2" t="str">
        <f>'Detailed Car List + Stats'!U5</f>
        <v/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6.5" customHeight="1">
      <c r="A6" s="6" t="str">
        <f>'Detailed Car List + Stats'!B6</f>
        <v>2023</v>
      </c>
      <c r="B6" s="6" t="str">
        <f>'Detailed Car List + Stats'!C6</f>
        <v>Acura</v>
      </c>
      <c r="C6" s="6" t="str">
        <f>'Detailed Car List + Stats'!D6</f>
        <v>Integra A-Spec</v>
      </c>
      <c r="D6" s="6" t="str">
        <f>'Detailed Car List + Stats'!E6</f>
        <v>Hot Hatch</v>
      </c>
      <c r="E6" s="8" t="s">
        <v>51</v>
      </c>
      <c r="F6" s="6" t="str">
        <f>'Detailed Car List + Stats'!G6</f>
        <v>USA</v>
      </c>
      <c r="G6" s="19">
        <f>'Detailed Car List + Stats'!H6</f>
        <v>36000</v>
      </c>
      <c r="H6" s="10" t="s">
        <v>27</v>
      </c>
      <c r="I6" s="6" t="str">
        <f>'Detailed Car List + Stats'!T6</f>
        <v>Autoshow, Wheelspin</v>
      </c>
      <c r="J6" s="2" t="str">
        <f>'Detailed Car List + Stats'!U6</f>
        <v/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6.5" customHeight="1">
      <c r="A7" s="6" t="str">
        <f>'Detailed Car List + Stats'!B7</f>
        <v>2001</v>
      </c>
      <c r="B7" s="6" t="str">
        <f>'Detailed Car List + Stats'!C7</f>
        <v>Acura</v>
      </c>
      <c r="C7" s="6" t="str">
        <f>'Detailed Car List + Stats'!D7</f>
        <v>Integra Type R</v>
      </c>
      <c r="D7" s="6" t="str">
        <f>'Detailed Car List + Stats'!E7</f>
        <v>Retro Hot Hatch</v>
      </c>
      <c r="E7" s="8" t="s">
        <v>57</v>
      </c>
      <c r="F7" s="6" t="str">
        <f>'Detailed Car List + Stats'!G7</f>
        <v>USA</v>
      </c>
      <c r="G7" s="19">
        <f>'Detailed Car List + Stats'!H7</f>
        <v>65000</v>
      </c>
      <c r="H7" s="20" t="s">
        <v>33</v>
      </c>
      <c r="I7" s="6" t="str">
        <f>'Detailed Car List + Stats'!T7</f>
        <v>Autoshow, Wheelspin</v>
      </c>
      <c r="J7" s="2" t="str">
        <f>'Detailed Car List + Stats'!U7</f>
        <v/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6.5" customHeight="1">
      <c r="A8" s="5" t="str">
        <f>'Detailed Car List + Stats'!B8</f>
        <v>2022</v>
      </c>
      <c r="B8" s="5" t="str">
        <f>'Detailed Car List + Stats'!C8</f>
        <v>Acura</v>
      </c>
      <c r="C8" s="5" t="str">
        <f>'Detailed Car List + Stats'!D8</f>
        <v>NSX Type S</v>
      </c>
      <c r="D8" s="5" t="str">
        <f>'Detailed Car List + Stats'!E8</f>
        <v>Modern Supercars</v>
      </c>
      <c r="E8" s="32" t="s">
        <v>61</v>
      </c>
      <c r="F8" s="5" t="str">
        <f>'Detailed Car List + Stats'!G8</f>
        <v>USA</v>
      </c>
      <c r="G8" s="9">
        <f>'Detailed Car List + Stats'!H8</f>
        <v>193000</v>
      </c>
      <c r="H8" s="33" t="s">
        <v>62</v>
      </c>
      <c r="I8" s="5" t="str">
        <f>'Detailed Car List + Stats'!T8</f>
        <v>Seasonal</v>
      </c>
      <c r="J8" s="21" t="str">
        <f>'Detailed Car List + Stats'!U8</f>
        <v/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6.5" customHeight="1">
      <c r="A9" s="6" t="str">
        <f>'Detailed Car List + Stats'!B9</f>
        <v>2002</v>
      </c>
      <c r="B9" s="6" t="str">
        <f>'Detailed Car List + Stats'!C9</f>
        <v>Acura</v>
      </c>
      <c r="C9" s="6" t="str">
        <f>'Detailed Car List + Stats'!D9</f>
        <v>RSX Type S</v>
      </c>
      <c r="D9" s="6" t="str">
        <f>'Detailed Car List + Stats'!E9</f>
        <v>Retro Hot Hatch</v>
      </c>
      <c r="E9" s="8" t="s">
        <v>65</v>
      </c>
      <c r="F9" s="6" t="str">
        <f>'Detailed Car List + Stats'!G9</f>
        <v>USA</v>
      </c>
      <c r="G9" s="19">
        <f>'Detailed Car List + Stats'!H9</f>
        <v>18000</v>
      </c>
      <c r="H9" s="20" t="s">
        <v>33</v>
      </c>
      <c r="I9" s="6" t="str">
        <f>'Detailed Car List + Stats'!T9</f>
        <v>Autoshow, Wheelspin</v>
      </c>
      <c r="J9" s="2" t="str">
        <f>'Detailed Car List + Stats'!U9</f>
        <v/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6.5" customHeight="1">
      <c r="A10" s="6" t="str">
        <f>'Detailed Car List + Stats'!B10</f>
        <v>1992</v>
      </c>
      <c r="B10" s="6" t="str">
        <f>'Detailed Car List + Stats'!C10</f>
        <v>Alfa Romeo</v>
      </c>
      <c r="C10" s="6" t="str">
        <f>'Detailed Car List + Stats'!D10</f>
        <v>155 Q4</v>
      </c>
      <c r="D10" s="6" t="str">
        <f>'Detailed Car List + Stats'!E10</f>
        <v>Retro Super Saloons</v>
      </c>
      <c r="E10" s="8" t="s">
        <v>70</v>
      </c>
      <c r="F10" s="6" t="str">
        <f>'Detailed Car List + Stats'!G10</f>
        <v>Italy</v>
      </c>
      <c r="G10" s="19">
        <f>'Detailed Car List + Stats'!H10</f>
        <v>30000</v>
      </c>
      <c r="H10" s="34" t="s">
        <v>62</v>
      </c>
      <c r="I10" s="6" t="str">
        <f>'Detailed Car List + Stats'!T10</f>
        <v>Autoshow</v>
      </c>
      <c r="J10" s="2" t="str">
        <f>'Detailed Car List + Stats'!U10</f>
        <v/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6.5" customHeight="1">
      <c r="A11" s="6" t="str">
        <f>'Detailed Car List + Stats'!B11</f>
        <v>1968</v>
      </c>
      <c r="B11" s="6" t="str">
        <f>'Detailed Car List + Stats'!C11</f>
        <v>Alfa Romeo</v>
      </c>
      <c r="C11" s="6" t="str">
        <f>'Detailed Car List + Stats'!D11</f>
        <v>33 Stradale</v>
      </c>
      <c r="D11" s="6" t="str">
        <f>'Detailed Car List + Stats'!E11</f>
        <v>Classic Racers</v>
      </c>
      <c r="E11" s="25" t="s">
        <v>75</v>
      </c>
      <c r="F11" s="6" t="str">
        <f>'Detailed Car List + Stats'!G11</f>
        <v>Italy</v>
      </c>
      <c r="G11" s="19">
        <f>'Detailed Car List + Stats'!H11</f>
        <v>3500000</v>
      </c>
      <c r="H11" s="35" t="s">
        <v>76</v>
      </c>
      <c r="I11" s="6" t="str">
        <f>'Detailed Car List + Stats'!T11</f>
        <v>Autoshow, Wheelspin</v>
      </c>
      <c r="J11" s="2" t="str">
        <f>'Detailed Car List + Stats'!U11</f>
        <v/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6.5" customHeight="1">
      <c r="A12" s="6" t="str">
        <f>'Detailed Car List + Stats'!B12</f>
        <v>2014</v>
      </c>
      <c r="B12" s="6" t="str">
        <f>'Detailed Car List + Stats'!C12</f>
        <v>Alfa Romeo</v>
      </c>
      <c r="C12" s="6" t="str">
        <f>'Detailed Car List + Stats'!D12</f>
        <v>4C</v>
      </c>
      <c r="D12" s="6" t="str">
        <f>'Detailed Car List + Stats'!E12</f>
        <v>Modern Sports Cars</v>
      </c>
      <c r="E12" s="36" t="s">
        <v>81</v>
      </c>
      <c r="F12" s="6" t="str">
        <f>'Detailed Car List + Stats'!G12</f>
        <v>Italy</v>
      </c>
      <c r="G12" s="19">
        <f>'Detailed Car List + Stats'!H12</f>
        <v>73000</v>
      </c>
      <c r="H12" s="34" t="s">
        <v>62</v>
      </c>
      <c r="I12" s="6" t="str">
        <f>'Detailed Car List + Stats'!T12</f>
        <v>Autoshow</v>
      </c>
      <c r="J12" s="2" t="str">
        <f>'Detailed Car List + Stats'!U12</f>
        <v/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6.5" customHeight="1">
      <c r="A13" s="6" t="str">
        <f>'Detailed Car List + Stats'!B13</f>
        <v>2007</v>
      </c>
      <c r="B13" s="6" t="str">
        <f>'Detailed Car List + Stats'!C13</f>
        <v>Alfa Romeo</v>
      </c>
      <c r="C13" s="6" t="str">
        <f>'Detailed Car List + Stats'!D13</f>
        <v>8C Competizione</v>
      </c>
      <c r="D13" s="6" t="str">
        <f>'Detailed Car List + Stats'!E13</f>
        <v>GT Cars</v>
      </c>
      <c r="E13" s="36" t="s">
        <v>85</v>
      </c>
      <c r="F13" s="6" t="str">
        <f>'Detailed Car List + Stats'!G13</f>
        <v>Italy</v>
      </c>
      <c r="G13" s="19">
        <f>'Detailed Car List + Stats'!H13</f>
        <v>312000</v>
      </c>
      <c r="H13" s="34" t="s">
        <v>62</v>
      </c>
      <c r="I13" s="6" t="str">
        <f>'Detailed Car List + Stats'!T13</f>
        <v>Autoshow, Wheelspin</v>
      </c>
      <c r="J13" s="2" t="str">
        <f>'Detailed Car List + Stats'!U13</f>
        <v/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6.5" customHeight="1">
      <c r="A14" s="37" t="str">
        <f>'Detailed Car List + Stats'!B14</f>
        <v>1968</v>
      </c>
      <c r="B14" s="37" t="str">
        <f>'Detailed Car List + Stats'!C14</f>
        <v>Alfa Romeo</v>
      </c>
      <c r="C14" s="37" t="str">
        <f>'Detailed Car List + Stats'!D14</f>
        <v>Autodelta Tipo 33/2 Daytona</v>
      </c>
      <c r="D14" s="37" t="str">
        <f>'Detailed Car List + Stats'!E14</f>
        <v>Classic Racers</v>
      </c>
      <c r="E14" s="36" t="s">
        <v>87</v>
      </c>
      <c r="F14" s="37" t="str">
        <f>'Detailed Car List + Stats'!G14</f>
        <v>Italy</v>
      </c>
      <c r="G14" s="38" t="str">
        <f>'Detailed Car List + Stats'!H14</f>
        <v/>
      </c>
      <c r="H14" s="19"/>
      <c r="I14" s="37" t="str">
        <f>'Detailed Car List + Stats'!T14</f>
        <v>Autoshow DLC</v>
      </c>
      <c r="J14" s="37" t="str">
        <f>'Detailed Car List + Stats'!U14</f>
        <v>Car Pass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6.5" customHeight="1">
      <c r="A15" s="37" t="str">
        <f>'Detailed Car List + Stats'!B15</f>
        <v>2021</v>
      </c>
      <c r="B15" s="37" t="str">
        <f>'Detailed Car List + Stats'!C15</f>
        <v>Alfa Romeo</v>
      </c>
      <c r="C15" s="37" t="str">
        <f>'Detailed Car List + Stats'!D15</f>
        <v>Giulia GTAm</v>
      </c>
      <c r="D15" s="37" t="str">
        <f>'Detailed Car List + Stats'!E15</f>
        <v>Modern Super Saloons</v>
      </c>
      <c r="E15" s="32" t="s">
        <v>93</v>
      </c>
      <c r="F15" s="37" t="str">
        <f>'Detailed Car List + Stats'!G15</f>
        <v>Italy</v>
      </c>
      <c r="G15" s="38">
        <f>'Detailed Car List + Stats'!H15</f>
        <v>225000</v>
      </c>
      <c r="H15" s="10" t="s">
        <v>27</v>
      </c>
      <c r="I15" s="37" t="str">
        <f>'Detailed Car List + Stats'!T15</f>
        <v>Autoshow DLC</v>
      </c>
      <c r="J15" s="37" t="str">
        <f>'Detailed Car List + Stats'!U15</f>
        <v>Italian Passion Car Pack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6.5" customHeight="1">
      <c r="A16" s="6" t="str">
        <f>'Detailed Car List + Stats'!B16</f>
        <v>2017</v>
      </c>
      <c r="B16" s="6" t="str">
        <f>'Detailed Car List + Stats'!C16</f>
        <v>Alfa Romeo</v>
      </c>
      <c r="C16" s="6" t="str">
        <f>'Detailed Car List + Stats'!D16</f>
        <v>Giulia Quadrifoglio</v>
      </c>
      <c r="D16" s="6" t="str">
        <f>'Detailed Car List + Stats'!E16</f>
        <v>Modern Super Saloons</v>
      </c>
      <c r="E16" s="36" t="s">
        <v>96</v>
      </c>
      <c r="F16" s="6" t="str">
        <f>'Detailed Car List + Stats'!G16</f>
        <v>Italy</v>
      </c>
      <c r="G16" s="19">
        <f>'Detailed Car List + Stats'!H16</f>
        <v>45000</v>
      </c>
      <c r="H16" s="10" t="s">
        <v>27</v>
      </c>
      <c r="I16" s="6" t="str">
        <f>'Detailed Car List + Stats'!T16</f>
        <v>Autoshow, Wheelspin</v>
      </c>
      <c r="J16" s="2" t="str">
        <f>'Detailed Car List + Stats'!U16</f>
        <v/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6.5" customHeight="1">
      <c r="A17" s="6" t="str">
        <f>'Detailed Car List + Stats'!B17</f>
        <v>1965</v>
      </c>
      <c r="B17" s="6" t="str">
        <f>'Detailed Car List + Stats'!C17</f>
        <v>Alfa Romeo</v>
      </c>
      <c r="C17" s="6" t="str">
        <f>'Detailed Car List + Stats'!D17</f>
        <v>Giulia Sprint GTA Stradale</v>
      </c>
      <c r="D17" s="6" t="str">
        <f>'Detailed Car List + Stats'!E17</f>
        <v>Rare Classics</v>
      </c>
      <c r="E17" s="17" t="s">
        <v>100</v>
      </c>
      <c r="F17" s="6" t="str">
        <f>'Detailed Car List + Stats'!G17</f>
        <v>Italy</v>
      </c>
      <c r="G17" s="19">
        <f>'Detailed Car List + Stats'!H17</f>
        <v>343000</v>
      </c>
      <c r="H17" s="10" t="s">
        <v>27</v>
      </c>
      <c r="I17" s="6" t="str">
        <f>'Detailed Car List + Stats'!T17</f>
        <v>Autoshow, Wheelspin</v>
      </c>
      <c r="J17" s="2" t="str">
        <f>'Detailed Car List + Stats'!U17</f>
        <v/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6.5" customHeight="1">
      <c r="A18" s="5" t="str">
        <f>'Detailed Car List + Stats'!B18</f>
        <v>1965</v>
      </c>
      <c r="B18" s="5" t="str">
        <f>'Detailed Car List + Stats'!C18</f>
        <v>Alfa Romeo</v>
      </c>
      <c r="C18" s="5" t="str">
        <f>'Detailed Car List + Stats'!D18</f>
        <v>Giulia TZ2</v>
      </c>
      <c r="D18" s="5" t="str">
        <f>'Detailed Car List + Stats'!E18</f>
        <v>Classic Racers</v>
      </c>
      <c r="E18" s="25" t="s">
        <v>102</v>
      </c>
      <c r="F18" s="5" t="str">
        <f>'Detailed Car List + Stats'!G18</f>
        <v>Italy</v>
      </c>
      <c r="G18" s="9" t="str">
        <f>'Detailed Car List + Stats'!H18</f>
        <v/>
      </c>
      <c r="H18" s="48"/>
      <c r="I18" s="5" t="str">
        <f>'Detailed Car List + Stats'!T18</f>
        <v>Collection Journal, Seasonal</v>
      </c>
      <c r="J18" s="21" t="str">
        <f>'Detailed Car List + Stats'!U18</f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6.5" customHeight="1">
      <c r="A19" s="37" t="str">
        <f>'Detailed Car List + Stats'!B19</f>
        <v>1990</v>
      </c>
      <c r="B19" s="37" t="str">
        <f>'Detailed Car List + Stats'!C19</f>
        <v>Alfa Romeo</v>
      </c>
      <c r="C19" s="37" t="str">
        <f>'Detailed Car List + Stats'!D19</f>
        <v>SE 048SP</v>
      </c>
      <c r="D19" s="37" t="str">
        <f>'Detailed Car List + Stats'!E19</f>
        <v>Retro Racers</v>
      </c>
      <c r="E19" s="49" t="s">
        <v>107</v>
      </c>
      <c r="F19" s="37" t="str">
        <f>'Detailed Car List + Stats'!G19</f>
        <v>Italy</v>
      </c>
      <c r="G19" s="38">
        <f>'Detailed Car List + Stats'!H19</f>
        <v>1000000</v>
      </c>
      <c r="H19" s="35" t="s">
        <v>76</v>
      </c>
      <c r="I19" s="37" t="str">
        <f>'Detailed Car List + Stats'!T19</f>
        <v>Autoshow DLC</v>
      </c>
      <c r="J19" s="37" t="str">
        <f>'Detailed Car List + Stats'!U19</f>
        <v>Italian Passion Car Pack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6.5" customHeight="1">
      <c r="A20" s="6" t="str">
        <f>'Detailed Car List + Stats'!B20</f>
        <v>2021</v>
      </c>
      <c r="B20" s="6" t="str">
        <f>'Detailed Car List + Stats'!C20</f>
        <v>Alumicraft</v>
      </c>
      <c r="C20" s="6" t="str">
        <f>'Detailed Car List + Stats'!D20</f>
        <v>#122 Class 1 Buggy</v>
      </c>
      <c r="D20" s="6" t="str">
        <f>'Detailed Car List + Stats'!E20</f>
        <v>Unlimited Buggies</v>
      </c>
      <c r="E20" s="25" t="s">
        <v>112</v>
      </c>
      <c r="F20" s="6" t="str">
        <f>'Detailed Car List + Stats'!G20</f>
        <v>USA</v>
      </c>
      <c r="G20" s="19">
        <f>'Detailed Car List + Stats'!H20</f>
        <v>160000</v>
      </c>
      <c r="H20" s="34" t="s">
        <v>62</v>
      </c>
      <c r="I20" s="6" t="str">
        <f>'Detailed Car List + Stats'!T20</f>
        <v>Autoshow, Wheelspin</v>
      </c>
      <c r="J20" s="2" t="str">
        <f>'Detailed Car List + Stats'!U20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6.5" customHeight="1">
      <c r="A21" s="6" t="str">
        <f>'Detailed Car List + Stats'!B21</f>
        <v>2022</v>
      </c>
      <c r="B21" s="6" t="str">
        <f>'Detailed Car List + Stats'!C21</f>
        <v>Alumicraft</v>
      </c>
      <c r="C21" s="6" t="str">
        <f>'Detailed Car List + Stats'!D21</f>
        <v>#6165 Trick Truck</v>
      </c>
      <c r="D21" s="6" t="str">
        <f>'Detailed Car List + Stats'!E21</f>
        <v>Unlimited Offroad</v>
      </c>
      <c r="E21" s="8" t="s">
        <v>115</v>
      </c>
      <c r="F21" s="6" t="str">
        <f>'Detailed Car List + Stats'!G21</f>
        <v>USA</v>
      </c>
      <c r="G21" s="19">
        <f>'Detailed Car List + Stats'!H21</f>
        <v>300000</v>
      </c>
      <c r="H21" s="34" t="s">
        <v>62</v>
      </c>
      <c r="I21" s="6" t="str">
        <f>'Detailed Car List + Stats'!T21</f>
        <v>Autoshow, Wheelspin</v>
      </c>
      <c r="J21" s="2" t="str">
        <f>'Detailed Car List + Stats'!U21</f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6.5" customHeight="1">
      <c r="A22" s="6" t="str">
        <f>'Detailed Car List + Stats'!B22</f>
        <v>2015</v>
      </c>
      <c r="B22" s="6" t="str">
        <f>'Detailed Car List + Stats'!C22</f>
        <v>Alumicraft</v>
      </c>
      <c r="C22" s="6" t="str">
        <f>'Detailed Car List + Stats'!D22</f>
        <v>Class 10 Race Car</v>
      </c>
      <c r="D22" s="6" t="str">
        <f>'Detailed Car List + Stats'!E22</f>
        <v>Unlimited Buggies</v>
      </c>
      <c r="E22" s="25" t="s">
        <v>102</v>
      </c>
      <c r="F22" s="6" t="str">
        <f>'Detailed Car List + Stats'!G22</f>
        <v>USA</v>
      </c>
      <c r="G22" s="19">
        <f>'Detailed Car List + Stats'!H22</f>
        <v>45000</v>
      </c>
      <c r="H22" s="34" t="s">
        <v>62</v>
      </c>
      <c r="I22" s="6" t="str">
        <f>'Detailed Car List + Stats'!T22</f>
        <v>Autoshow, Wheelspin</v>
      </c>
      <c r="J22" s="2" t="str">
        <f>'Detailed Car List + Stats'!U22</f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6.5" customHeight="1">
      <c r="A23" s="6" t="str">
        <f>'Detailed Car List + Stats'!B23</f>
        <v>2554</v>
      </c>
      <c r="B23" s="6" t="str">
        <f>'Detailed Car List + Stats'!C23</f>
        <v>AMG Transport Dynamics</v>
      </c>
      <c r="C23" s="6" t="str">
        <f>'Detailed Car List + Stats'!D23</f>
        <v>M12S Warthog CST</v>
      </c>
      <c r="D23" s="6" t="str">
        <f>'Detailed Car List + Stats'!E23</f>
        <v>Unlimited Offroad</v>
      </c>
      <c r="E23" s="36" t="s">
        <v>121</v>
      </c>
      <c r="F23" s="6" t="str">
        <f>'Detailed Car List + Stats'!G23</f>
        <v>USA</v>
      </c>
      <c r="G23" s="19">
        <f>'Detailed Car List + Stats'!H23</f>
        <v>850000</v>
      </c>
      <c r="H23" s="35" t="s">
        <v>76</v>
      </c>
      <c r="I23" s="6" t="str">
        <f>'Detailed Car List + Stats'!T23</f>
        <v>Autoshow, Collection Journal</v>
      </c>
      <c r="J23" s="2" t="str">
        <f>'Detailed Car List + Stats'!U23</f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6.5" customHeight="1">
      <c r="A24" s="5" t="str">
        <f>'Detailed Car List + Stats'!B24</f>
        <v>2019</v>
      </c>
      <c r="B24" s="5" t="str">
        <f>'Detailed Car List + Stats'!C24</f>
        <v>Apollo</v>
      </c>
      <c r="C24" s="5" t="str">
        <f>'Detailed Car List + Stats'!D24</f>
        <v>Intensa Emozione</v>
      </c>
      <c r="D24" s="5" t="str">
        <f>'Detailed Car List + Stats'!E24</f>
        <v>Extreme Track Toys</v>
      </c>
      <c r="E24" s="49" t="s">
        <v>127</v>
      </c>
      <c r="F24" s="5" t="str">
        <f>'Detailed Car List + Stats'!G24</f>
        <v>Germany</v>
      </c>
      <c r="G24" s="9" t="str">
        <f>'Detailed Car List + Stats'!H24</f>
        <v/>
      </c>
      <c r="H24" s="48"/>
      <c r="I24" s="5" t="str">
        <f>'Detailed Car List + Stats'!T24</f>
        <v>Wheelspin, Seasonal</v>
      </c>
      <c r="J24" s="21" t="str">
        <f>'Detailed Car List + Stats'!U24</f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6.5" customHeight="1">
      <c r="A25" s="6" t="str">
        <f>'Detailed Car List + Stats'!B25</f>
        <v>2013</v>
      </c>
      <c r="B25" s="6" t="str">
        <f>'Detailed Car List + Stats'!C25</f>
        <v>Ariel</v>
      </c>
      <c r="C25" s="6" t="str">
        <f>'Detailed Car List + Stats'!D25</f>
        <v>Atom 500 V8</v>
      </c>
      <c r="D25" s="6" t="str">
        <f>'Detailed Car List + Stats'!E25</f>
        <v>Extreme Track Toys</v>
      </c>
      <c r="E25" s="50" t="s">
        <v>133</v>
      </c>
      <c r="F25" s="6" t="str">
        <f>'Detailed Car List + Stats'!G25</f>
        <v>UK</v>
      </c>
      <c r="G25" s="19">
        <f>'Detailed Car List + Stats'!H25</f>
        <v>190000</v>
      </c>
      <c r="H25" s="34" t="s">
        <v>62</v>
      </c>
      <c r="I25" s="6" t="str">
        <f>'Detailed Car List + Stats'!T25</f>
        <v>Autoshow, Wheelspin</v>
      </c>
      <c r="J25" s="2" t="str">
        <f>'Detailed Car List + Stats'!U25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6.5" customHeight="1">
      <c r="A26" s="6" t="str">
        <f>'Detailed Car List + Stats'!B26</f>
        <v>2016</v>
      </c>
      <c r="B26" s="6" t="str">
        <f>'Detailed Car List + Stats'!C26</f>
        <v>Ariel</v>
      </c>
      <c r="C26" s="6" t="str">
        <f>'Detailed Car List + Stats'!D26</f>
        <v>Nomad</v>
      </c>
      <c r="D26" s="6" t="str">
        <f>'Detailed Car List + Stats'!E26</f>
        <v>Unlimited Buggies</v>
      </c>
      <c r="E26" s="36" t="s">
        <v>136</v>
      </c>
      <c r="F26" s="6" t="str">
        <f>'Detailed Car List + Stats'!G26</f>
        <v>UK</v>
      </c>
      <c r="G26" s="19">
        <f>'Detailed Car List + Stats'!H26</f>
        <v>54000</v>
      </c>
      <c r="H26" s="10" t="s">
        <v>27</v>
      </c>
      <c r="I26" s="6" t="str">
        <f>'Detailed Car List + Stats'!T26</f>
        <v>Autoshow, Collection Journal, Wheelspin</v>
      </c>
      <c r="J26" s="2" t="str">
        <f>'Detailed Car List + Stats'!U26</f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6.5" customHeight="1">
      <c r="A27" s="6" t="str">
        <f>'Detailed Car List + Stats'!B27</f>
        <v>2017</v>
      </c>
      <c r="B27" s="6" t="str">
        <f>'Detailed Car List + Stats'!C27</f>
        <v>Aston Martin</v>
      </c>
      <c r="C27" s="6" t="str">
        <f>'Detailed Car List + Stats'!D27</f>
        <v>DB11</v>
      </c>
      <c r="D27" s="6" t="str">
        <f>'Detailed Car List + Stats'!E27</f>
        <v>Super GT</v>
      </c>
      <c r="E27" s="36" t="s">
        <v>142</v>
      </c>
      <c r="F27" s="6" t="str">
        <f>'Detailed Car List + Stats'!G27</f>
        <v>UK</v>
      </c>
      <c r="G27" s="19">
        <f>'Detailed Car List + Stats'!H27</f>
        <v>175000</v>
      </c>
      <c r="H27" s="34" t="s">
        <v>62</v>
      </c>
      <c r="I27" s="6" t="str">
        <f>'Detailed Car List + Stats'!T27</f>
        <v>Autoshow, Wheelspin</v>
      </c>
      <c r="J27" s="2" t="str">
        <f>'Detailed Car List + Stats'!U27</f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6.5" customHeight="1">
      <c r="A28" s="6" t="str">
        <f>'Detailed Car List + Stats'!B28</f>
        <v>1964</v>
      </c>
      <c r="B28" s="6" t="str">
        <f>'Detailed Car List + Stats'!C28</f>
        <v>Aston Martin</v>
      </c>
      <c r="C28" s="6" t="str">
        <f>'Detailed Car List + Stats'!D28</f>
        <v>DB5</v>
      </c>
      <c r="D28" s="6" t="str">
        <f>'Detailed Car List + Stats'!E28</f>
        <v>Rare Classics</v>
      </c>
      <c r="E28" s="8" t="s">
        <v>145</v>
      </c>
      <c r="F28" s="6" t="str">
        <f>'Detailed Car List + Stats'!G28</f>
        <v>UK</v>
      </c>
      <c r="G28" s="19">
        <f>'Detailed Car List + Stats'!H28</f>
        <v>500000</v>
      </c>
      <c r="H28" s="34" t="s">
        <v>62</v>
      </c>
      <c r="I28" s="6" t="str">
        <f>'Detailed Car List + Stats'!T28</f>
        <v>Autoshow</v>
      </c>
      <c r="J28" s="2" t="str">
        <f>'Detailed Car List + Stats'!U28</f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6.5" customHeight="1">
      <c r="A29" s="37" t="str">
        <f>'Detailed Car List + Stats'!B29</f>
        <v>2003</v>
      </c>
      <c r="B29" s="37" t="str">
        <f>'Detailed Car List + Stats'!C29</f>
        <v>Aston Martin</v>
      </c>
      <c r="C29" s="37" t="str">
        <f>'Detailed Car List + Stats'!D29</f>
        <v>DB7 GT</v>
      </c>
      <c r="D29" s="37" t="str">
        <f>'Detailed Car List + Stats'!E29</f>
        <v>Retro Sports Cars</v>
      </c>
      <c r="E29" s="25" t="s">
        <v>149</v>
      </c>
      <c r="F29" s="37" t="str">
        <f>'Detailed Car List + Stats'!G29</f>
        <v>UK</v>
      </c>
      <c r="G29" s="38">
        <f>'Detailed Car List + Stats'!H29</f>
        <v>80000</v>
      </c>
      <c r="H29" s="10" t="s">
        <v>27</v>
      </c>
      <c r="I29" s="37" t="str">
        <f>'Detailed Car List + Stats'!T29</f>
        <v>Autoshow DLC</v>
      </c>
      <c r="J29" s="37" t="str">
        <f>'Detailed Car List + Stats'!U29</f>
        <v>Car Pass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6.5" customHeight="1">
      <c r="A30" s="5" t="str">
        <f>'Detailed Car List + Stats'!B30</f>
        <v>2019</v>
      </c>
      <c r="B30" s="5" t="str">
        <f>'Detailed Car List + Stats'!C30</f>
        <v>Aston Martin</v>
      </c>
      <c r="C30" s="5" t="str">
        <f>'Detailed Car List + Stats'!D30</f>
        <v>DBS Superleggera</v>
      </c>
      <c r="D30" s="5" t="str">
        <f>'Detailed Car List + Stats'!E30</f>
        <v>Super GT</v>
      </c>
      <c r="E30" s="32" t="s">
        <v>151</v>
      </c>
      <c r="F30" s="5" t="str">
        <f>'Detailed Car List + Stats'!G30</f>
        <v>UK</v>
      </c>
      <c r="G30" s="9" t="str">
        <f>'Detailed Car List + Stats'!H30</f>
        <v/>
      </c>
      <c r="H30" s="48"/>
      <c r="I30" s="5" t="str">
        <f>'Detailed Car List + Stats'!T30</f>
        <v>Wheelspin, Seasonal</v>
      </c>
      <c r="J30" s="21" t="str">
        <f>'Detailed Car List + Stats'!U30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6.5" customHeight="1">
      <c r="A31" s="5" t="str">
        <f>'Detailed Car List + Stats'!B31</f>
        <v>2021</v>
      </c>
      <c r="B31" s="5" t="str">
        <f>'Detailed Car List + Stats'!C31</f>
        <v>Aston Martin</v>
      </c>
      <c r="C31" s="5" t="str">
        <f>'Detailed Car List + Stats'!D31</f>
        <v>DBX</v>
      </c>
      <c r="D31" s="5" t="str">
        <f>'Detailed Car List + Stats'!E31</f>
        <v>Sports Utility Heroes</v>
      </c>
      <c r="E31" s="36" t="s">
        <v>154</v>
      </c>
      <c r="F31" s="5" t="str">
        <f>'Detailed Car List + Stats'!G31</f>
        <v>UK</v>
      </c>
      <c r="G31" s="9">
        <f>'Detailed Car List + Stats'!H31</f>
        <v>250000</v>
      </c>
      <c r="H31" s="10" t="s">
        <v>27</v>
      </c>
      <c r="I31" s="5" t="str">
        <f>'Detailed Car List + Stats'!T31</f>
        <v>Seasonal</v>
      </c>
      <c r="J31" s="21" t="str">
        <f>'Detailed Car List + Stats'!U31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6.5" customHeight="1">
      <c r="A32" s="5" t="str">
        <f>'Detailed Car List + Stats'!B32</f>
        <v>2019</v>
      </c>
      <c r="B32" s="5" t="str">
        <f>'Detailed Car List + Stats'!C32</f>
        <v>Aston Martin</v>
      </c>
      <c r="C32" s="5" t="str">
        <f>'Detailed Car List + Stats'!D32</f>
        <v>Valhalla Concept Car</v>
      </c>
      <c r="D32" s="5" t="str">
        <f>'Detailed Car List + Stats'!E32</f>
        <v>Hypercars</v>
      </c>
      <c r="E32" s="49" t="s">
        <v>157</v>
      </c>
      <c r="F32" s="5" t="str">
        <f>'Detailed Car List + Stats'!G32</f>
        <v>UK</v>
      </c>
      <c r="G32" s="9" t="str">
        <f>'Detailed Car List + Stats'!H32</f>
        <v/>
      </c>
      <c r="H32" s="48"/>
      <c r="I32" s="5" t="str">
        <f>'Detailed Car List + Stats'!T32</f>
        <v>Wheelspin, Seasonal</v>
      </c>
      <c r="J32" s="21" t="str">
        <f>'Detailed Car List + Stats'!U32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6.5" customHeight="1">
      <c r="A33" s="6" t="str">
        <f>'Detailed Car List + Stats'!B33</f>
        <v>2023</v>
      </c>
      <c r="B33" s="6" t="str">
        <f>'Detailed Car List + Stats'!C33</f>
        <v>Aston Martin</v>
      </c>
      <c r="C33" s="6" t="str">
        <f>'Detailed Car List + Stats'!D33</f>
        <v>Valkyrie</v>
      </c>
      <c r="D33" s="6" t="str">
        <f>'Detailed Car List + Stats'!E33</f>
        <v>Hypercars</v>
      </c>
      <c r="E33" s="49" t="s">
        <v>159</v>
      </c>
      <c r="F33" s="6" t="str">
        <f>'Detailed Car List + Stats'!G33</f>
        <v>UK</v>
      </c>
      <c r="G33" s="19">
        <f>'Detailed Car List + Stats'!H33</f>
        <v>2750000</v>
      </c>
      <c r="H33" s="35" t="s">
        <v>76</v>
      </c>
      <c r="I33" s="6" t="str">
        <f>'Detailed Car List + Stats'!T33</f>
        <v>Autoshow, Wheelspin</v>
      </c>
      <c r="J33" s="2" t="str">
        <f>'Detailed Car List + Stats'!U33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6.5" customHeight="1">
      <c r="A34" s="6" t="str">
        <f>'Detailed Car List + Stats'!B34</f>
        <v>2022</v>
      </c>
      <c r="B34" s="6" t="str">
        <f>'Detailed Car List + Stats'!C34</f>
        <v>Aston Martin</v>
      </c>
      <c r="C34" s="6" t="str">
        <f>'Detailed Car List + Stats'!D34</f>
        <v>Valkyrie AMR Pro</v>
      </c>
      <c r="D34" s="6" t="str">
        <f>'Detailed Car List + Stats'!E34</f>
        <v>Extreme Track Toys</v>
      </c>
      <c r="E34" s="49" t="s">
        <v>161</v>
      </c>
      <c r="F34" s="6" t="str">
        <f>'Detailed Car List + Stats'!G34</f>
        <v>UK</v>
      </c>
      <c r="G34" s="19">
        <f>'Detailed Car List + Stats'!H34</f>
        <v>4200000</v>
      </c>
      <c r="H34" s="35" t="s">
        <v>76</v>
      </c>
      <c r="I34" s="6" t="str">
        <f>'Detailed Car List + Stats'!T34</f>
        <v>Autoshow, Collection Journal, Wheelspin</v>
      </c>
      <c r="J34" s="2" t="str">
        <f>'Detailed Car List + Stats'!U34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6.5" customHeight="1">
      <c r="A35" s="6" t="str">
        <f>'Detailed Car List + Stats'!B35</f>
        <v>2019</v>
      </c>
      <c r="B35" s="6" t="str">
        <f>'Detailed Car List + Stats'!C35</f>
        <v>Aston Martin</v>
      </c>
      <c r="C35" s="6" t="str">
        <f>'Detailed Car List + Stats'!D35</f>
        <v>Vantage</v>
      </c>
      <c r="D35" s="6" t="str">
        <f>'Detailed Car List + Stats'!E35</f>
        <v>GT Cars</v>
      </c>
      <c r="E35" s="36" t="s">
        <v>87</v>
      </c>
      <c r="F35" s="6" t="str">
        <f>'Detailed Car List + Stats'!G35</f>
        <v>UK</v>
      </c>
      <c r="G35" s="19">
        <f>'Detailed Car List + Stats'!H35</f>
        <v>250000</v>
      </c>
      <c r="H35" s="34" t="s">
        <v>62</v>
      </c>
      <c r="I35" s="6" t="str">
        <f>'Detailed Car List + Stats'!T35</f>
        <v>Autoshow</v>
      </c>
      <c r="J35" s="2" t="str">
        <f>'Detailed Car List + Stats'!U35</f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6.5" customHeight="1">
      <c r="A36" s="6" t="str">
        <f>'Detailed Car List + Stats'!B36</f>
        <v>2016</v>
      </c>
      <c r="B36" s="6" t="str">
        <f>'Detailed Car List + Stats'!C36</f>
        <v>Aston Martin</v>
      </c>
      <c r="C36" s="6" t="str">
        <f>'Detailed Car List + Stats'!D36</f>
        <v>Vulcan</v>
      </c>
      <c r="D36" s="6" t="str">
        <f>'Detailed Car List + Stats'!E36</f>
        <v>Extreme Track Toys</v>
      </c>
      <c r="E36" s="50" t="s">
        <v>164</v>
      </c>
      <c r="F36" s="6" t="str">
        <f>'Detailed Car List + Stats'!G36</f>
        <v>UK</v>
      </c>
      <c r="G36" s="19">
        <f>'Detailed Car List + Stats'!H36</f>
        <v>2300000</v>
      </c>
      <c r="H36" s="35" t="s">
        <v>76</v>
      </c>
      <c r="I36" s="6" t="str">
        <f>'Detailed Car List + Stats'!T36</f>
        <v>Autoshow, Wheelspin, Loyalty</v>
      </c>
      <c r="J36" s="2" t="str">
        <f>'Detailed Car List + Stats'!U36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6.5" customHeight="1">
      <c r="A37" s="6" t="str">
        <f>'Detailed Car List + Stats'!B37</f>
        <v>2017</v>
      </c>
      <c r="B37" s="6" t="str">
        <f>'Detailed Car List + Stats'!C37</f>
        <v>Aston Martin</v>
      </c>
      <c r="C37" s="6" t="str">
        <f>'Detailed Car List + Stats'!D37</f>
        <v>Vulcan AMR Pro</v>
      </c>
      <c r="D37" s="6" t="str">
        <f>'Detailed Car List + Stats'!E37</f>
        <v>Extreme Track Toys</v>
      </c>
      <c r="E37" s="50" t="s">
        <v>167</v>
      </c>
      <c r="F37" s="6" t="str">
        <f>'Detailed Car List + Stats'!G37</f>
        <v>UK</v>
      </c>
      <c r="G37" s="19">
        <f>'Detailed Car List + Stats'!H37</f>
        <v>3000000</v>
      </c>
      <c r="H37" s="35" t="s">
        <v>76</v>
      </c>
      <c r="I37" s="6" t="str">
        <f>'Detailed Car List + Stats'!T37</f>
        <v>Autoshow, Wheelspin</v>
      </c>
      <c r="J37" s="2" t="str">
        <f>'Detailed Car List + Stats'!U37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6.5" customHeight="1">
      <c r="A38" s="6" t="str">
        <f>'Detailed Car List + Stats'!B38</f>
        <v>1986</v>
      </c>
      <c r="B38" s="6" t="str">
        <f>'Detailed Car List + Stats'!C38</f>
        <v>Audi</v>
      </c>
      <c r="C38" s="6" t="str">
        <f>'Detailed Car List + Stats'!D38</f>
        <v>#2 Audi Sport Quattro S1</v>
      </c>
      <c r="D38" s="6" t="str">
        <f>'Detailed Car List + Stats'!E38</f>
        <v>Rally Monsters</v>
      </c>
      <c r="E38" s="32" t="s">
        <v>172</v>
      </c>
      <c r="F38" s="6" t="str">
        <f>'Detailed Car List + Stats'!G38</f>
        <v>Germany</v>
      </c>
      <c r="G38" s="19">
        <f>'Detailed Car List + Stats'!H38</f>
        <v>750000</v>
      </c>
      <c r="H38" s="35" t="s">
        <v>76</v>
      </c>
      <c r="I38" s="6" t="str">
        <f>'Detailed Car List + Stats'!T38</f>
        <v>Autoshow, Wheelspin</v>
      </c>
      <c r="J38" s="2" t="str">
        <f>'Detailed Car List + Stats'!U38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6.5" customHeight="1">
      <c r="A39" s="37" t="str">
        <f>'Detailed Car List + Stats'!B39</f>
        <v>2023</v>
      </c>
      <c r="B39" s="37" t="str">
        <f>'Detailed Car List + Stats'!C39</f>
        <v>Audi</v>
      </c>
      <c r="C39" s="37" t="str">
        <f>'Detailed Car List + Stats'!D39</f>
        <v>R8 Coupé V10 GT RWD</v>
      </c>
      <c r="D39" s="37" t="str">
        <f>'Detailed Car List + Stats'!E39</f>
        <v>Modern Supercars</v>
      </c>
      <c r="E39" s="32" t="s">
        <v>174</v>
      </c>
      <c r="F39" s="37" t="str">
        <f>'Detailed Car List + Stats'!G39</f>
        <v>Germany</v>
      </c>
      <c r="G39" s="38">
        <f>'Detailed Car List + Stats'!H39</f>
        <v>250000</v>
      </c>
      <c r="H39" s="34" t="s">
        <v>62</v>
      </c>
      <c r="I39" s="37" t="str">
        <f>'Detailed Car List + Stats'!T39</f>
        <v>Autoshow DLC</v>
      </c>
      <c r="J39" s="37" t="str">
        <f>'Detailed Car List + Stats'!U39</f>
        <v>Car Pass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6.5" customHeight="1">
      <c r="A40" s="5" t="str">
        <f>'Detailed Car List + Stats'!B40</f>
        <v>2013</v>
      </c>
      <c r="B40" s="5" t="str">
        <f>'Detailed Car List + Stats'!C40</f>
        <v>Audi</v>
      </c>
      <c r="C40" s="5" t="str">
        <f>'Detailed Car List + Stats'!D40</f>
        <v>R8 Coupé V10 Plus 5.2 FSI Quattro</v>
      </c>
      <c r="D40" s="5" t="str">
        <f>'Detailed Car List + Stats'!E40</f>
        <v>Modern Supercars</v>
      </c>
      <c r="E40" s="36" t="s">
        <v>176</v>
      </c>
      <c r="F40" s="5" t="str">
        <f>'Detailed Car List + Stats'!G40</f>
        <v>Germany</v>
      </c>
      <c r="G40" s="9" t="str">
        <f>'Detailed Car List + Stats'!H40</f>
        <v/>
      </c>
      <c r="H40" s="48"/>
      <c r="I40" s="5" t="str">
        <f>'Detailed Car List + Stats'!T40</f>
        <v>Collection Journal, Seasonal</v>
      </c>
      <c r="J40" s="21" t="str">
        <f>'Detailed Car List + Stats'!U40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6.5" customHeight="1">
      <c r="A41" s="6" t="str">
        <f>'Detailed Car List + Stats'!B41</f>
        <v>2009</v>
      </c>
      <c r="B41" s="6" t="str">
        <f>'Detailed Car List + Stats'!C41</f>
        <v>Audi</v>
      </c>
      <c r="C41" s="6" t="str">
        <f>'Detailed Car List + Stats'!D41</f>
        <v>R8 LMS</v>
      </c>
      <c r="D41" s="6" t="str">
        <f>'Detailed Car List + Stats'!E41</f>
        <v>Extreme Track Toys</v>
      </c>
      <c r="E41" s="50" t="s">
        <v>179</v>
      </c>
      <c r="F41" s="6" t="str">
        <f>'Detailed Car List + Stats'!G41</f>
        <v>Germany</v>
      </c>
      <c r="G41" s="19">
        <f>'Detailed Car List + Stats'!H41</f>
        <v>900000</v>
      </c>
      <c r="H41" s="10" t="s">
        <v>27</v>
      </c>
      <c r="I41" s="6" t="str">
        <f>'Detailed Car List + Stats'!T41</f>
        <v>Autoshow, Wheelspin</v>
      </c>
      <c r="J41" s="2" t="str">
        <f>'Detailed Car List + Stats'!U41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6.5" customHeight="1">
      <c r="A42" s="6" t="str">
        <f>'Detailed Car List + Stats'!B42</f>
        <v>2020</v>
      </c>
      <c r="B42" s="6" t="str">
        <f>'Detailed Car List + Stats'!C42</f>
        <v>Audi</v>
      </c>
      <c r="C42" s="6" t="str">
        <f>'Detailed Car List + Stats'!D42</f>
        <v>R8 V10 Performance</v>
      </c>
      <c r="D42" s="6" t="str">
        <f>'Detailed Car List + Stats'!E42</f>
        <v>Modern Supercars</v>
      </c>
      <c r="E42" s="32" t="s">
        <v>182</v>
      </c>
      <c r="F42" s="6" t="str">
        <f>'Detailed Car List + Stats'!G42</f>
        <v>Germany</v>
      </c>
      <c r="G42" s="19">
        <f>'Detailed Car List + Stats'!H42</f>
        <v>281000</v>
      </c>
      <c r="H42" s="10" t="s">
        <v>27</v>
      </c>
      <c r="I42" s="6" t="str">
        <f>'Detailed Car List + Stats'!T42</f>
        <v>Autoshow, Wheelspin</v>
      </c>
      <c r="J42" s="2" t="str">
        <f>'Detailed Car List + Stats'!U42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6.5" customHeight="1">
      <c r="A43" s="6" t="str">
        <f>'Detailed Car List + Stats'!B43</f>
        <v>2016</v>
      </c>
      <c r="B43" s="6" t="str">
        <f>'Detailed Car List + Stats'!C43</f>
        <v>Audi</v>
      </c>
      <c r="C43" s="6" t="str">
        <f>'Detailed Car List + Stats'!D43</f>
        <v>R8 V10 Plus</v>
      </c>
      <c r="D43" s="6" t="str">
        <f>'Detailed Car List + Stats'!E43</f>
        <v>Modern Supercars</v>
      </c>
      <c r="E43" s="32" t="s">
        <v>184</v>
      </c>
      <c r="F43" s="6" t="str">
        <f>'Detailed Car List + Stats'!G43</f>
        <v>Germany</v>
      </c>
      <c r="G43" s="19">
        <f>'Detailed Car List + Stats'!H43</f>
        <v>160000</v>
      </c>
      <c r="H43" s="34" t="s">
        <v>62</v>
      </c>
      <c r="I43" s="6" t="str">
        <f>'Detailed Car List + Stats'!T43</f>
        <v>Autoshow, Wheelspin</v>
      </c>
      <c r="J43" s="2" t="str">
        <f>'Detailed Car List + Stats'!U43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6.5" customHeight="1">
      <c r="A44" s="6" t="str">
        <f>'Detailed Car List + Stats'!B44</f>
        <v>2020</v>
      </c>
      <c r="B44" s="6" t="str">
        <f>'Detailed Car List + Stats'!C44</f>
        <v>Audi</v>
      </c>
      <c r="C44" s="6" t="str">
        <f>'Detailed Car List + Stats'!D44</f>
        <v>RS 3 Sedan</v>
      </c>
      <c r="D44" s="6" t="str">
        <f>'Detailed Car List + Stats'!E44</f>
        <v>Modern Super Saloons</v>
      </c>
      <c r="E44" s="36" t="s">
        <v>186</v>
      </c>
      <c r="F44" s="6" t="str">
        <f>'Detailed Car List + Stats'!G44</f>
        <v>Germany</v>
      </c>
      <c r="G44" s="19">
        <f>'Detailed Car List + Stats'!H44</f>
        <v>52000</v>
      </c>
      <c r="H44" s="10" t="s">
        <v>27</v>
      </c>
      <c r="I44" s="6" t="str">
        <f>'Detailed Car List + Stats'!T44</f>
        <v>Autoshow, Wheelspin</v>
      </c>
      <c r="J44" s="2" t="str">
        <f>'Detailed Car List + Stats'!U44</f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6.5" customHeight="1">
      <c r="A45" s="6" t="str">
        <f>'Detailed Car List + Stats'!B45</f>
        <v>2011</v>
      </c>
      <c r="B45" s="6" t="str">
        <f>'Detailed Car List + Stats'!C45</f>
        <v>Audi</v>
      </c>
      <c r="C45" s="6" t="str">
        <f>'Detailed Car List + Stats'!D45</f>
        <v>RS 3 Sportback</v>
      </c>
      <c r="D45" s="6" t="str">
        <f>'Detailed Car List + Stats'!E45</f>
        <v>Super Hot Hatch</v>
      </c>
      <c r="E45" s="25" t="s">
        <v>190</v>
      </c>
      <c r="F45" s="6" t="str">
        <f>'Detailed Car List + Stats'!G45</f>
        <v>Germany</v>
      </c>
      <c r="G45" s="19">
        <f>'Detailed Car List + Stats'!H45</f>
        <v>20000</v>
      </c>
      <c r="H45" s="20" t="s">
        <v>33</v>
      </c>
      <c r="I45" s="6" t="str">
        <f>'Detailed Car List + Stats'!T45</f>
        <v>Autoshow, Wheelspin</v>
      </c>
      <c r="J45" s="2" t="str">
        <f>'Detailed Car List + Stats'!U45</f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6.5" customHeight="1">
      <c r="A46" s="6" t="str">
        <f>'Detailed Car List + Stats'!B46</f>
        <v>2006</v>
      </c>
      <c r="B46" s="6" t="str">
        <f>'Detailed Car List + Stats'!C46</f>
        <v>Audi</v>
      </c>
      <c r="C46" s="6" t="str">
        <f>'Detailed Car List + Stats'!D46</f>
        <v>RS 4</v>
      </c>
      <c r="D46" s="6" t="str">
        <f>'Detailed Car List + Stats'!E46</f>
        <v>Modern Super Saloons</v>
      </c>
      <c r="E46" s="25" t="s">
        <v>75</v>
      </c>
      <c r="F46" s="6" t="str">
        <f>'Detailed Car List + Stats'!G46</f>
        <v>Germany</v>
      </c>
      <c r="G46" s="19">
        <f>'Detailed Car List + Stats'!H46</f>
        <v>75000</v>
      </c>
      <c r="H46" s="10" t="s">
        <v>27</v>
      </c>
      <c r="I46" s="6" t="str">
        <f>'Detailed Car List + Stats'!T46</f>
        <v>Autoshow, Wheelspin</v>
      </c>
      <c r="J46" s="2" t="str">
        <f>'Detailed Car List + Stats'!U46</f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6.5" customHeight="1">
      <c r="A47" s="6" t="str">
        <f>'Detailed Car List + Stats'!B47</f>
        <v>2001</v>
      </c>
      <c r="B47" s="6" t="str">
        <f>'Detailed Car List + Stats'!C47</f>
        <v>Audi</v>
      </c>
      <c r="C47" s="6" t="str">
        <f>'Detailed Car List + Stats'!D47</f>
        <v>RS 4 Avant</v>
      </c>
      <c r="D47" s="6" t="str">
        <f>'Detailed Car List + Stats'!E47</f>
        <v>Retro Super Saloons</v>
      </c>
      <c r="E47" s="25" t="s">
        <v>194</v>
      </c>
      <c r="F47" s="6" t="str">
        <f>'Detailed Car List + Stats'!G47</f>
        <v>Germany</v>
      </c>
      <c r="G47" s="19">
        <f>'Detailed Car List + Stats'!H47</f>
        <v>175000</v>
      </c>
      <c r="H47" s="20" t="s">
        <v>33</v>
      </c>
      <c r="I47" s="6" t="str">
        <f>'Detailed Car List + Stats'!T47</f>
        <v>Autoshow, Wheelspin</v>
      </c>
      <c r="J47" s="2" t="str">
        <f>'Detailed Car List + Stats'!U47</f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6.5" customHeight="1">
      <c r="A48" s="6" t="str">
        <f>'Detailed Car List + Stats'!B48</f>
        <v>2013</v>
      </c>
      <c r="B48" s="6" t="str">
        <f>'Detailed Car List + Stats'!C48</f>
        <v>Audi</v>
      </c>
      <c r="C48" s="6" t="str">
        <f>'Detailed Car List + Stats'!D48</f>
        <v>RS 4 Avant</v>
      </c>
      <c r="D48" s="6" t="str">
        <f>'Detailed Car List + Stats'!E48</f>
        <v>Modern Super Saloons</v>
      </c>
      <c r="E48" s="36" t="s">
        <v>195</v>
      </c>
      <c r="F48" s="6" t="str">
        <f>'Detailed Car List + Stats'!G48</f>
        <v>Germany</v>
      </c>
      <c r="G48" s="19">
        <f>'Detailed Car List + Stats'!H48</f>
        <v>30000</v>
      </c>
      <c r="H48" s="10" t="s">
        <v>27</v>
      </c>
      <c r="I48" s="6" t="str">
        <f>'Detailed Car List + Stats'!T48</f>
        <v>Autoshow, Wheelspin</v>
      </c>
      <c r="J48" s="2" t="str">
        <f>'Detailed Car List + Stats'!U48</f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6.5" customHeight="1">
      <c r="A49" s="6" t="str">
        <f>'Detailed Car List + Stats'!B49</f>
        <v>2018</v>
      </c>
      <c r="B49" s="6" t="str">
        <f>'Detailed Car List + Stats'!C49</f>
        <v>Audi</v>
      </c>
      <c r="C49" s="6" t="str">
        <f>'Detailed Car List + Stats'!D49</f>
        <v>RS 4 Avant</v>
      </c>
      <c r="D49" s="6" t="str">
        <f>'Detailed Car List + Stats'!E49</f>
        <v>Modern Super Saloons</v>
      </c>
      <c r="E49" s="36" t="s">
        <v>197</v>
      </c>
      <c r="F49" s="6" t="str">
        <f>'Detailed Car List + Stats'!G49</f>
        <v>Germany</v>
      </c>
      <c r="G49" s="19">
        <f>'Detailed Car List + Stats'!H49</f>
        <v>50000</v>
      </c>
      <c r="H49" s="10" t="s">
        <v>27</v>
      </c>
      <c r="I49" s="6" t="str">
        <f>'Detailed Car List + Stats'!T49</f>
        <v>Autoshow, Wheelspin</v>
      </c>
      <c r="J49" s="2" t="str">
        <f>'Detailed Car List + Stats'!U49</f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6.5" customHeight="1">
      <c r="A50" s="6" t="str">
        <f>'Detailed Car List + Stats'!B50</f>
        <v>2011</v>
      </c>
      <c r="B50" s="6" t="str">
        <f>'Detailed Car List + Stats'!C50</f>
        <v>Audi</v>
      </c>
      <c r="C50" s="6" t="str">
        <f>'Detailed Car List + Stats'!D50</f>
        <v>RS 5 Coupé</v>
      </c>
      <c r="D50" s="6" t="str">
        <f>'Detailed Car List + Stats'!E50</f>
        <v>Modern Super Saloons</v>
      </c>
      <c r="E50" s="36" t="s">
        <v>199</v>
      </c>
      <c r="F50" s="6" t="str">
        <f>'Detailed Car List + Stats'!G50</f>
        <v>Germany</v>
      </c>
      <c r="G50" s="19">
        <f>'Detailed Car List + Stats'!H50</f>
        <v>25000</v>
      </c>
      <c r="H50" s="10" t="s">
        <v>27</v>
      </c>
      <c r="I50" s="6" t="str">
        <f>'Detailed Car List + Stats'!T50</f>
        <v>Autoshow, Wheelspin</v>
      </c>
      <c r="J50" s="2" t="str">
        <f>'Detailed Car List + Stats'!U50</f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6.5" customHeight="1">
      <c r="A51" s="6" t="str">
        <f>'Detailed Car List + Stats'!B51</f>
        <v>2003</v>
      </c>
      <c r="B51" s="6" t="str">
        <f>'Detailed Car List + Stats'!C51</f>
        <v>Audi</v>
      </c>
      <c r="C51" s="6" t="str">
        <f>'Detailed Car List + Stats'!D51</f>
        <v>RS 6</v>
      </c>
      <c r="D51" s="6" t="str">
        <f>'Detailed Car List + Stats'!E51</f>
        <v>Retro Super Saloons</v>
      </c>
      <c r="E51" s="25" t="s">
        <v>201</v>
      </c>
      <c r="F51" s="6" t="str">
        <f>'Detailed Car List + Stats'!G51</f>
        <v>Germany</v>
      </c>
      <c r="G51" s="19">
        <f>'Detailed Car List + Stats'!H51</f>
        <v>35000</v>
      </c>
      <c r="H51" s="10" t="s">
        <v>27</v>
      </c>
      <c r="I51" s="6" t="str">
        <f>'Detailed Car List + Stats'!T51</f>
        <v>Autoshow, Wheelspin</v>
      </c>
      <c r="J51" s="2" t="str">
        <f>'Detailed Car List + Stats'!U51</f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6.5" customHeight="1">
      <c r="A52" s="6" t="str">
        <f>'Detailed Car List + Stats'!B52</f>
        <v>2009</v>
      </c>
      <c r="B52" s="6" t="str">
        <f>'Detailed Car List + Stats'!C52</f>
        <v>Audi</v>
      </c>
      <c r="C52" s="6" t="str">
        <f>'Detailed Car List + Stats'!D52</f>
        <v>RS 6</v>
      </c>
      <c r="D52" s="6" t="str">
        <f>'Detailed Car List + Stats'!E52</f>
        <v>Modern Super Saloons</v>
      </c>
      <c r="E52" s="25" t="s">
        <v>202</v>
      </c>
      <c r="F52" s="6" t="str">
        <f>'Detailed Car List + Stats'!G52</f>
        <v>Germany</v>
      </c>
      <c r="G52" s="19">
        <f>'Detailed Car List + Stats'!H52</f>
        <v>42000</v>
      </c>
      <c r="H52" s="34" t="s">
        <v>62</v>
      </c>
      <c r="I52" s="6" t="str">
        <f>'Detailed Car List + Stats'!T52</f>
        <v>Autoshow, Wheelspin</v>
      </c>
      <c r="J52" s="2" t="str">
        <f>'Detailed Car List + Stats'!U52</f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6.5" customHeight="1">
      <c r="A53" s="6" t="str">
        <f>'Detailed Car List + Stats'!B53</f>
        <v>2015</v>
      </c>
      <c r="B53" s="6" t="str">
        <f>'Detailed Car List + Stats'!C53</f>
        <v>Audi</v>
      </c>
      <c r="C53" s="6" t="str">
        <f>'Detailed Car List + Stats'!D53</f>
        <v>RS 6 Avant</v>
      </c>
      <c r="D53" s="6" t="str">
        <f>'Detailed Car List + Stats'!E53</f>
        <v>Modern Super Saloons</v>
      </c>
      <c r="E53" s="36" t="s">
        <v>204</v>
      </c>
      <c r="F53" s="6" t="str">
        <f>'Detailed Car List + Stats'!G53</f>
        <v>Germany</v>
      </c>
      <c r="G53" s="19">
        <f>'Detailed Car List + Stats'!H53</f>
        <v>60000</v>
      </c>
      <c r="H53" s="10" t="s">
        <v>27</v>
      </c>
      <c r="I53" s="6" t="str">
        <f>'Detailed Car List + Stats'!T53</f>
        <v>Autoshow, Wheelspin</v>
      </c>
      <c r="J53" s="2" t="str">
        <f>'Detailed Car List + Stats'!U53</f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6.5" customHeight="1">
      <c r="A54" s="6" t="str">
        <f>'Detailed Car List + Stats'!B54</f>
        <v>2021</v>
      </c>
      <c r="B54" s="6" t="str">
        <f>'Detailed Car List + Stats'!C54</f>
        <v>Audi</v>
      </c>
      <c r="C54" s="6" t="str">
        <f>'Detailed Car List + Stats'!D54</f>
        <v>RS 6 Avant</v>
      </c>
      <c r="D54" s="6" t="str">
        <f>'Detailed Car List + Stats'!E54</f>
        <v>Modern Super Saloons</v>
      </c>
      <c r="E54" s="36" t="s">
        <v>205</v>
      </c>
      <c r="F54" s="6" t="str">
        <f>'Detailed Car List + Stats'!G54</f>
        <v>Germany</v>
      </c>
      <c r="G54" s="19">
        <f>'Detailed Car List + Stats'!H54</f>
        <v>83000</v>
      </c>
      <c r="H54" s="10" t="s">
        <v>27</v>
      </c>
      <c r="I54" s="6" t="str">
        <f>'Detailed Car List + Stats'!T54</f>
        <v>Autoshow, Wheelspin</v>
      </c>
      <c r="J54" s="2" t="str">
        <f>'Detailed Car List + Stats'!U54</f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6.5" customHeight="1">
      <c r="A55" s="6" t="str">
        <f>'Detailed Car List + Stats'!B55</f>
        <v>2013</v>
      </c>
      <c r="B55" s="6" t="str">
        <f>'Detailed Car List + Stats'!C55</f>
        <v>Audi</v>
      </c>
      <c r="C55" s="6" t="str">
        <f>'Detailed Car List + Stats'!D55</f>
        <v>RS 7 Sportback</v>
      </c>
      <c r="D55" s="6" t="str">
        <f>'Detailed Car List + Stats'!E55</f>
        <v>Modern Super Saloons</v>
      </c>
      <c r="E55" s="36" t="s">
        <v>207</v>
      </c>
      <c r="F55" s="6" t="str">
        <f>'Detailed Car List + Stats'!G55</f>
        <v>Germany</v>
      </c>
      <c r="G55" s="19">
        <f>'Detailed Car List + Stats'!H55</f>
        <v>55000</v>
      </c>
      <c r="H55" s="34" t="s">
        <v>62</v>
      </c>
      <c r="I55" s="6" t="str">
        <f>'Detailed Car List + Stats'!T55</f>
        <v>Autoshow, Wheelspin</v>
      </c>
      <c r="J55" s="2" t="str">
        <f>'Detailed Car List + Stats'!U55</f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6.5" customHeight="1">
      <c r="A56" s="6" t="str">
        <f>'Detailed Car List + Stats'!B56</f>
        <v>2021</v>
      </c>
      <c r="B56" s="6" t="str">
        <f>'Detailed Car List + Stats'!C56</f>
        <v>Audi</v>
      </c>
      <c r="C56" s="6" t="str">
        <f>'Detailed Car List + Stats'!D56</f>
        <v>RS 7 Sportback</v>
      </c>
      <c r="D56" s="6" t="str">
        <f>'Detailed Car List + Stats'!E56</f>
        <v>Modern Super Saloons</v>
      </c>
      <c r="E56" s="36" t="s">
        <v>208</v>
      </c>
      <c r="F56" s="6" t="str">
        <f>'Detailed Car List + Stats'!G56</f>
        <v>Germany</v>
      </c>
      <c r="G56" s="19">
        <f>'Detailed Car List + Stats'!H56</f>
        <v>80000</v>
      </c>
      <c r="H56" s="10" t="s">
        <v>27</v>
      </c>
      <c r="I56" s="6" t="str">
        <f>'Detailed Car List + Stats'!T56</f>
        <v>Autoshow, Wheelspin</v>
      </c>
      <c r="J56" s="2" t="str">
        <f>'Detailed Car List + Stats'!U56</f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6.5" customHeight="1">
      <c r="A57" s="6" t="str">
        <f>'Detailed Car List + Stats'!B57</f>
        <v>2021</v>
      </c>
      <c r="B57" s="6" t="str">
        <f>'Detailed Car List + Stats'!C57</f>
        <v>Audi</v>
      </c>
      <c r="C57" s="6" t="str">
        <f>'Detailed Car List + Stats'!D57</f>
        <v>RS e-tron GT</v>
      </c>
      <c r="D57" s="6" t="str">
        <f>'Detailed Car List + Stats'!E57</f>
        <v>Modern Super Saloons</v>
      </c>
      <c r="E57" s="36" t="s">
        <v>210</v>
      </c>
      <c r="F57" s="6" t="str">
        <f>'Detailed Car List + Stats'!G57</f>
        <v>Germany</v>
      </c>
      <c r="G57" s="19">
        <f>'Detailed Car List + Stats'!H57</f>
        <v>95000</v>
      </c>
      <c r="H57" s="34" t="s">
        <v>62</v>
      </c>
      <c r="I57" s="6" t="str">
        <f>'Detailed Car List + Stats'!T57</f>
        <v>Autoshow, Wheelspin</v>
      </c>
      <c r="J57" s="2" t="str">
        <f>'Detailed Car List + Stats'!U57</f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6.5" customHeight="1">
      <c r="A58" s="6" t="str">
        <f>'Detailed Car List + Stats'!B58</f>
        <v>2015</v>
      </c>
      <c r="B58" s="6" t="str">
        <f>'Detailed Car List + Stats'!C58</f>
        <v>Audi</v>
      </c>
      <c r="C58" s="6" t="str">
        <f>'Detailed Car List + Stats'!D58</f>
        <v>S1</v>
      </c>
      <c r="D58" s="6" t="str">
        <f>'Detailed Car List + Stats'!E58</f>
        <v>Hot Hatch</v>
      </c>
      <c r="E58" s="25" t="s">
        <v>212</v>
      </c>
      <c r="F58" s="6" t="str">
        <f>'Detailed Car List + Stats'!G58</f>
        <v>Germany</v>
      </c>
      <c r="G58" s="19">
        <f>'Detailed Car List + Stats'!H58</f>
        <v>21000</v>
      </c>
      <c r="H58" s="20" t="s">
        <v>33</v>
      </c>
      <c r="I58" s="6" t="str">
        <f>'Detailed Car List + Stats'!T58</f>
        <v>Autoshow, Wheelspin</v>
      </c>
      <c r="J58" s="2" t="str">
        <f>'Detailed Car List + Stats'!U58</f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6.5" customHeight="1">
      <c r="A59" s="5" t="str">
        <f>'Detailed Car List + Stats'!B59</f>
        <v>1984</v>
      </c>
      <c r="B59" s="5" t="str">
        <f>'Detailed Car List + Stats'!C59</f>
        <v>Audi</v>
      </c>
      <c r="C59" s="5" t="str">
        <f>'Detailed Car List + Stats'!D59</f>
        <v>Sport Quattro</v>
      </c>
      <c r="D59" s="5" t="str">
        <f>'Detailed Car List + Stats'!E59</f>
        <v>Retro Rally</v>
      </c>
      <c r="E59" s="25" t="s">
        <v>216</v>
      </c>
      <c r="F59" s="5" t="str">
        <f>'Detailed Car List + Stats'!G59</f>
        <v>Germany</v>
      </c>
      <c r="G59" s="9" t="str">
        <f>'Detailed Car List + Stats'!H59</f>
        <v/>
      </c>
      <c r="H59" s="48"/>
      <c r="I59" s="5" t="str">
        <f>'Detailed Car List + Stats'!T59</f>
        <v>Wheelspin, Seasonal</v>
      </c>
      <c r="J59" s="21" t="str">
        <f>'Detailed Car List + Stats'!U59</f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6.5" customHeight="1">
      <c r="A60" s="6" t="str">
        <f>'Detailed Car List + Stats'!B60</f>
        <v>2010</v>
      </c>
      <c r="B60" s="6" t="str">
        <f>'Detailed Car List + Stats'!C60</f>
        <v>Audi</v>
      </c>
      <c r="C60" s="6" t="str">
        <f>'Detailed Car List + Stats'!D60</f>
        <v>TT RS Coupé</v>
      </c>
      <c r="D60" s="6" t="str">
        <f>'Detailed Car List + Stats'!E60</f>
        <v>Modern Sports Cars</v>
      </c>
      <c r="E60" s="25" t="s">
        <v>75</v>
      </c>
      <c r="F60" s="6" t="str">
        <f>'Detailed Car List + Stats'!G60</f>
        <v>Germany</v>
      </c>
      <c r="G60" s="19">
        <f>'Detailed Car List + Stats'!H60</f>
        <v>35000</v>
      </c>
      <c r="H60" s="10" t="s">
        <v>27</v>
      </c>
      <c r="I60" s="6" t="str">
        <f>'Detailed Car List + Stats'!T60</f>
        <v>Autoshow, Wheelspin</v>
      </c>
      <c r="J60" s="2" t="str">
        <f>'Detailed Car List + Stats'!U60</f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6.5" customHeight="1">
      <c r="A61" s="6" t="str">
        <f>'Detailed Car List + Stats'!B61</f>
        <v>1965</v>
      </c>
      <c r="B61" s="6" t="str">
        <f>'Detailed Car List + Stats'!C61</f>
        <v>Austin-Healey</v>
      </c>
      <c r="C61" s="6" t="str">
        <f>'Detailed Car List + Stats'!D61</f>
        <v>3000 Mk III</v>
      </c>
      <c r="D61" s="6" t="str">
        <f>'Detailed Car List + Stats'!E61</f>
        <v>Classic Sports Cars</v>
      </c>
      <c r="E61" s="17" t="s">
        <v>222</v>
      </c>
      <c r="F61" s="6" t="str">
        <f>'Detailed Car List + Stats'!G61</f>
        <v>UK</v>
      </c>
      <c r="G61" s="19">
        <f>'Detailed Car List + Stats'!H61</f>
        <v>75000</v>
      </c>
      <c r="H61" s="20" t="s">
        <v>33</v>
      </c>
      <c r="I61" s="6" t="str">
        <f>'Detailed Car List + Stats'!T61</f>
        <v>Autoshow, Wheelspin</v>
      </c>
      <c r="J61" s="2" t="str">
        <f>'Detailed Car List + Stats'!U61</f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6.5" customHeight="1">
      <c r="A62" s="6" t="str">
        <f>'Detailed Car List + Stats'!B62</f>
        <v>1993</v>
      </c>
      <c r="B62" s="6" t="str">
        <f>'Detailed Car List + Stats'!C62</f>
        <v>Autozam</v>
      </c>
      <c r="C62" s="6" t="str">
        <f>'Detailed Car List + Stats'!D62</f>
        <v>AZ-1</v>
      </c>
      <c r="D62" s="6" t="str">
        <f>'Detailed Car List + Stats'!E62</f>
        <v>Eclectic Domestics</v>
      </c>
      <c r="E62" s="17" t="s">
        <v>227</v>
      </c>
      <c r="F62" s="6" t="str">
        <f>'Detailed Car List + Stats'!G62</f>
        <v>Japan</v>
      </c>
      <c r="G62" s="19">
        <f>'Detailed Car List + Stats'!H62</f>
        <v>38000</v>
      </c>
      <c r="H62" s="10" t="s">
        <v>27</v>
      </c>
      <c r="I62" s="6" t="str">
        <f>'Detailed Car List + Stats'!T62</f>
        <v>Autoshow, Wheelspin</v>
      </c>
      <c r="J62" s="2" t="str">
        <f>'Detailed Car List + Stats'!U62</f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6.5" customHeight="1">
      <c r="A63" s="6" t="str">
        <f>'Detailed Car List + Stats'!B63</f>
        <v>2014</v>
      </c>
      <c r="B63" s="6" t="str">
        <f>'Detailed Car List + Stats'!C63</f>
        <v>BAC</v>
      </c>
      <c r="C63" s="6" t="str">
        <f>'Detailed Car List + Stats'!D63</f>
        <v>Mono</v>
      </c>
      <c r="D63" s="6" t="str">
        <f>'Detailed Car List + Stats'!E63</f>
        <v>Track Toys</v>
      </c>
      <c r="E63" s="32" t="s">
        <v>232</v>
      </c>
      <c r="F63" s="6" t="str">
        <f>'Detailed Car List + Stats'!G63</f>
        <v>UK</v>
      </c>
      <c r="G63" s="19">
        <f>'Detailed Car List + Stats'!H63</f>
        <v>196000</v>
      </c>
      <c r="H63" s="34" t="s">
        <v>62</v>
      </c>
      <c r="I63" s="6" t="str">
        <f>'Detailed Car List + Stats'!T63</f>
        <v>Autoshow, Wheelspin</v>
      </c>
      <c r="J63" s="2" t="str">
        <f>'Detailed Car List + Stats'!U63</f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6.5" customHeight="1">
      <c r="A64" s="5" t="str">
        <f>'Detailed Car List + Stats'!B64</f>
        <v>2016</v>
      </c>
      <c r="B64" s="5" t="str">
        <f>'Detailed Car List + Stats'!C64</f>
        <v>Bentley</v>
      </c>
      <c r="C64" s="5" t="str">
        <f>'Detailed Car List + Stats'!D64</f>
        <v>Bentayga</v>
      </c>
      <c r="D64" s="5" t="str">
        <f>'Detailed Car List + Stats'!E64</f>
        <v>Sports Utility Heroes</v>
      </c>
      <c r="E64" s="36" t="s">
        <v>235</v>
      </c>
      <c r="F64" s="5" t="str">
        <f>'Detailed Car List + Stats'!G64</f>
        <v>UK</v>
      </c>
      <c r="G64" s="9" t="str">
        <f>'Detailed Car List + Stats'!H64</f>
        <v/>
      </c>
      <c r="H64" s="48"/>
      <c r="I64" s="5" t="str">
        <f>'Detailed Car List + Stats'!T64</f>
        <v>Wheelspin, Seasonal</v>
      </c>
      <c r="J64" s="21" t="str">
        <f>'Detailed Car List + Stats'!U64</f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6.5" customHeight="1">
      <c r="A65" s="6" t="str">
        <f>'Detailed Car List + Stats'!B65</f>
        <v>2021</v>
      </c>
      <c r="B65" s="6" t="str">
        <f>'Detailed Car List + Stats'!C65</f>
        <v>Bentley</v>
      </c>
      <c r="C65" s="6" t="str">
        <f>'Detailed Car List + Stats'!D65</f>
        <v>Continental GT Convertible</v>
      </c>
      <c r="D65" s="6" t="str">
        <f>'Detailed Car List + Stats'!E65</f>
        <v>GT Cars</v>
      </c>
      <c r="E65" s="36" t="s">
        <v>237</v>
      </c>
      <c r="F65" s="6" t="str">
        <f>'Detailed Car List + Stats'!G65</f>
        <v>UK</v>
      </c>
      <c r="G65" s="19">
        <f>'Detailed Car List + Stats'!H65</f>
        <v>170000</v>
      </c>
      <c r="H65" s="10" t="s">
        <v>27</v>
      </c>
      <c r="I65" s="6" t="str">
        <f>'Detailed Car List + Stats'!T65</f>
        <v>Autoshow, Collection Journal, Wheelspin</v>
      </c>
      <c r="J65" s="2" t="str">
        <f>'Detailed Car List + Stats'!U65</f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6.5" customHeight="1">
      <c r="A66" s="6" t="str">
        <f>'Detailed Car List + Stats'!B66</f>
        <v>1973</v>
      </c>
      <c r="B66" s="6" t="str">
        <f>'Detailed Car List + Stats'!C66</f>
        <v>BMW</v>
      </c>
      <c r="C66" s="6" t="str">
        <f>'Detailed Car List + Stats'!D66</f>
        <v>2002 Turbo</v>
      </c>
      <c r="D66" s="6" t="str">
        <f>'Detailed Car List + Stats'!E66</f>
        <v>Classic Sports Cars</v>
      </c>
      <c r="E66" s="8" t="s">
        <v>241</v>
      </c>
      <c r="F66" s="6" t="str">
        <f>'Detailed Car List + Stats'!G66</f>
        <v>Germany</v>
      </c>
      <c r="G66" s="19">
        <f>'Detailed Car List + Stats'!H66</f>
        <v>127000</v>
      </c>
      <c r="H66" s="35" t="s">
        <v>76</v>
      </c>
      <c r="I66" s="6" t="str">
        <f>'Detailed Car List + Stats'!T66</f>
        <v>Autoshow, Wheelspin</v>
      </c>
      <c r="J66" s="2" t="str">
        <f>'Detailed Car List + Stats'!U66</f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6.5" customHeight="1">
      <c r="A67" s="6" t="str">
        <f>'Detailed Car List + Stats'!B67</f>
        <v>1995</v>
      </c>
      <c r="B67" s="6" t="str">
        <f>'Detailed Car List + Stats'!C67</f>
        <v>BMW</v>
      </c>
      <c r="C67" s="6" t="str">
        <f>'Detailed Car List + Stats'!D67</f>
        <v>850CSi</v>
      </c>
      <c r="D67" s="6" t="str">
        <f>'Detailed Car List + Stats'!E67</f>
        <v>Retro Sports Cars</v>
      </c>
      <c r="E67" s="8" t="s">
        <v>244</v>
      </c>
      <c r="F67" s="6" t="str">
        <f>'Detailed Car List + Stats'!G67</f>
        <v>Germany</v>
      </c>
      <c r="G67" s="19">
        <f>'Detailed Car List + Stats'!H67</f>
        <v>135000</v>
      </c>
      <c r="H67" s="10" t="s">
        <v>27</v>
      </c>
      <c r="I67" s="6" t="str">
        <f>'Detailed Car List + Stats'!T67</f>
        <v>Autoshow, Wheelspin</v>
      </c>
      <c r="J67" s="2" t="str">
        <f>'Detailed Car List + Stats'!U67</f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6.5" customHeight="1">
      <c r="A68" s="6" t="str">
        <f>'Detailed Car List + Stats'!B68</f>
        <v>2015</v>
      </c>
      <c r="B68" s="6" t="str">
        <f>'Detailed Car List + Stats'!C68</f>
        <v>BMW</v>
      </c>
      <c r="C68" s="6" t="str">
        <f>'Detailed Car List + Stats'!D68</f>
        <v>i8</v>
      </c>
      <c r="D68" s="6" t="str">
        <f>'Detailed Car List + Stats'!E68</f>
        <v>Modern Sports Cars</v>
      </c>
      <c r="E68" s="36" t="s">
        <v>246</v>
      </c>
      <c r="F68" s="6" t="str">
        <f>'Detailed Car List + Stats'!G68</f>
        <v>Germany</v>
      </c>
      <c r="G68" s="19">
        <f>'Detailed Car List + Stats'!H68</f>
        <v>70000</v>
      </c>
      <c r="H68" s="10" t="s">
        <v>27</v>
      </c>
      <c r="I68" s="6" t="str">
        <f>'Detailed Car List + Stats'!T68</f>
        <v>Autoshow, Wheelspin</v>
      </c>
      <c r="J68" s="2" t="str">
        <f>'Detailed Car List + Stats'!U68</f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6.5" customHeight="1">
      <c r="A69" s="6" t="str">
        <f>'Detailed Car List + Stats'!B69</f>
        <v>1957</v>
      </c>
      <c r="B69" s="6" t="str">
        <f>'Detailed Car List + Stats'!C69</f>
        <v>BMW</v>
      </c>
      <c r="C69" s="6" t="str">
        <f>'Detailed Car List + Stats'!D69</f>
        <v>Isetta 300 Export</v>
      </c>
      <c r="D69" s="6" t="str">
        <f>'Detailed Car List + Stats'!E69</f>
        <v>Cult Cars</v>
      </c>
      <c r="E69" s="17" t="s">
        <v>32</v>
      </c>
      <c r="F69" s="6" t="str">
        <f>'Detailed Car List + Stats'!G69</f>
        <v>Germany</v>
      </c>
      <c r="G69" s="19">
        <f>'Detailed Car List + Stats'!H69</f>
        <v>84000</v>
      </c>
      <c r="H69" s="20" t="s">
        <v>33</v>
      </c>
      <c r="I69" s="6" t="str">
        <f>'Detailed Car List + Stats'!T69</f>
        <v>Autoshow, Wheelspin</v>
      </c>
      <c r="J69" s="2" t="str">
        <f>'Detailed Car List + Stats'!U69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6.5" customHeight="1">
      <c r="A70" s="6" t="str">
        <f>'Detailed Car List + Stats'!B70</f>
        <v>2022</v>
      </c>
      <c r="B70" s="6" t="str">
        <f>'Detailed Car List + Stats'!C70</f>
        <v>BMW</v>
      </c>
      <c r="C70" s="6" t="str">
        <f>'Detailed Car List + Stats'!D70</f>
        <v>iX xDrive50</v>
      </c>
      <c r="D70" s="6" t="str">
        <f>'Detailed Car List + Stats'!E70</f>
        <v>Sports Utility Heroes</v>
      </c>
      <c r="E70" s="25" t="s">
        <v>250</v>
      </c>
      <c r="F70" s="6" t="str">
        <f>'Detailed Car List + Stats'!G70</f>
        <v>Germany</v>
      </c>
      <c r="G70" s="19">
        <f>'Detailed Car List + Stats'!H70</f>
        <v>37000</v>
      </c>
      <c r="H70" s="10" t="s">
        <v>27</v>
      </c>
      <c r="I70" s="6" t="str">
        <f>'Detailed Car List + Stats'!T70</f>
        <v>Autoshow, Wheelspin</v>
      </c>
      <c r="J70" s="2" t="str">
        <f>'Detailed Car List + Stats'!U70</f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6.5" customHeight="1">
      <c r="A71" s="5" t="str">
        <f>'Detailed Car List + Stats'!B71</f>
        <v>1981</v>
      </c>
      <c r="B71" s="5" t="str">
        <f>'Detailed Car List + Stats'!C71</f>
        <v>BMW</v>
      </c>
      <c r="C71" s="5" t="str">
        <f>'Detailed Car List + Stats'!D71</f>
        <v>M1</v>
      </c>
      <c r="D71" s="5" t="str">
        <f>'Detailed Car List + Stats'!E71</f>
        <v>Retro Supercars</v>
      </c>
      <c r="E71" s="25" t="s">
        <v>254</v>
      </c>
      <c r="F71" s="5" t="str">
        <f>'Detailed Car List + Stats'!G71</f>
        <v>Germany</v>
      </c>
      <c r="G71" s="9">
        <f>'Detailed Car List + Stats'!H71</f>
        <v>600000</v>
      </c>
      <c r="H71" s="35" t="s">
        <v>255</v>
      </c>
      <c r="I71" s="5" t="str">
        <f>'Detailed Car List + Stats'!T71</f>
        <v>Collection Journal</v>
      </c>
      <c r="J71" s="21" t="str">
        <f>'Detailed Car List + Stats'!U71</f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6.5" customHeight="1">
      <c r="A72" s="6" t="str">
        <f>'Detailed Car List + Stats'!B72</f>
        <v>2023</v>
      </c>
      <c r="B72" s="6" t="str">
        <f>'Detailed Car List + Stats'!C72</f>
        <v>BMW</v>
      </c>
      <c r="C72" s="6" t="str">
        <f>'Detailed Car List + Stats'!D72</f>
        <v>M2</v>
      </c>
      <c r="D72" s="6" t="str">
        <f>'Detailed Car List + Stats'!E72</f>
        <v>Modern Super Saloons</v>
      </c>
      <c r="E72" s="36" t="s">
        <v>258</v>
      </c>
      <c r="F72" s="6" t="str">
        <f>'Detailed Car List + Stats'!G72</f>
        <v>Germany</v>
      </c>
      <c r="G72" s="19">
        <f>'Detailed Car List + Stats'!H72</f>
        <v>67000</v>
      </c>
      <c r="H72" s="10" t="s">
        <v>27</v>
      </c>
      <c r="I72" s="6" t="str">
        <f>'Detailed Car List + Stats'!T72</f>
        <v>Autoshow, Wheelspin</v>
      </c>
      <c r="J72" s="2" t="str">
        <f>'Detailed Car List + Stats'!U72</f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6.5" customHeight="1">
      <c r="A73" s="5" t="str">
        <f>'Detailed Car List + Stats'!B73</f>
        <v>2020</v>
      </c>
      <c r="B73" s="5" t="str">
        <f>'Detailed Car List + Stats'!C73</f>
        <v>BMW</v>
      </c>
      <c r="C73" s="5" t="str">
        <f>'Detailed Car List + Stats'!D73</f>
        <v>M2 Competition Coupé</v>
      </c>
      <c r="D73" s="5" t="str">
        <f>'Detailed Car List + Stats'!E73</f>
        <v>Modern Super Saloons</v>
      </c>
      <c r="E73" s="36" t="s">
        <v>260</v>
      </c>
      <c r="F73" s="5" t="str">
        <f>'Detailed Car List + Stats'!G73</f>
        <v>Germany</v>
      </c>
      <c r="G73" s="9">
        <f>'Detailed Car List + Stats'!H73</f>
        <v>250000</v>
      </c>
      <c r="H73" s="34" t="s">
        <v>62</v>
      </c>
      <c r="I73" s="5" t="str">
        <f>'Detailed Car List + Stats'!T73</f>
        <v>Wheelspin, Seasonal</v>
      </c>
      <c r="J73" s="21" t="str">
        <f>'Detailed Car List + Stats'!U73</f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6.5" customHeight="1">
      <c r="A74" s="5" t="str">
        <f>'Detailed Car List + Stats'!B74</f>
        <v>2023</v>
      </c>
      <c r="B74" s="5" t="str">
        <f>'Detailed Car List + Stats'!C74</f>
        <v>BMW</v>
      </c>
      <c r="C74" s="5" t="str">
        <f>'Detailed Car List + Stats'!D74</f>
        <v>M2 Forza Edition</v>
      </c>
      <c r="D74" s="5" t="str">
        <f>'Detailed Car List + Stats'!E74</f>
        <v>Track Toys</v>
      </c>
      <c r="E74" s="36" t="s">
        <v>262</v>
      </c>
      <c r="F74" s="5" t="str">
        <f>'Detailed Car List + Stats'!G74</f>
        <v>Germany</v>
      </c>
      <c r="G74" s="9" t="str">
        <f>'Detailed Car List + Stats'!H74</f>
        <v/>
      </c>
      <c r="H74" s="48"/>
      <c r="I74" s="5" t="str">
        <f>'Detailed Car List + Stats'!T74</f>
        <v>Collection Journal, Seasonal</v>
      </c>
      <c r="J74" s="21" t="str">
        <f>'Detailed Car List + Stats'!U74</f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6.5" customHeight="1">
      <c r="A75" s="6" t="str">
        <f>'Detailed Car List + Stats'!B75</f>
        <v>1988</v>
      </c>
      <c r="B75" s="6" t="str">
        <f>'Detailed Car List + Stats'!C75</f>
        <v>BMW</v>
      </c>
      <c r="C75" s="6" t="str">
        <f>'Detailed Car List + Stats'!D75</f>
        <v>M3</v>
      </c>
      <c r="D75" s="6" t="str">
        <f>'Detailed Car List + Stats'!E75</f>
        <v>Retro Super Saloons</v>
      </c>
      <c r="E75" s="8" t="s">
        <v>265</v>
      </c>
      <c r="F75" s="6" t="str">
        <f>'Detailed Car List + Stats'!G75</f>
        <v>Germany</v>
      </c>
      <c r="G75" s="19">
        <f>'Detailed Car List + Stats'!H75</f>
        <v>250000</v>
      </c>
      <c r="H75" s="10" t="s">
        <v>27</v>
      </c>
      <c r="I75" s="6" t="str">
        <f>'Detailed Car List + Stats'!T75</f>
        <v>Autoshow, Wheelspin</v>
      </c>
      <c r="J75" s="2" t="str">
        <f>'Detailed Car List + Stats'!U75</f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6.5" customHeight="1">
      <c r="A76" s="6" t="str">
        <f>'Detailed Car List + Stats'!B76</f>
        <v>1997</v>
      </c>
      <c r="B76" s="6" t="str">
        <f>'Detailed Car List + Stats'!C76</f>
        <v>BMW</v>
      </c>
      <c r="C76" s="6" t="str">
        <f>'Detailed Car List + Stats'!D76</f>
        <v>M3</v>
      </c>
      <c r="D76" s="6" t="str">
        <f>'Detailed Car List + Stats'!E76</f>
        <v>Retro Super Saloons</v>
      </c>
      <c r="E76" s="25" t="s">
        <v>267</v>
      </c>
      <c r="F76" s="6" t="str">
        <f>'Detailed Car List + Stats'!G76</f>
        <v>Germany</v>
      </c>
      <c r="G76" s="19">
        <f>'Detailed Car List + Stats'!H76</f>
        <v>30000</v>
      </c>
      <c r="H76" s="20" t="s">
        <v>33</v>
      </c>
      <c r="I76" s="6" t="str">
        <f>'Detailed Car List + Stats'!T76</f>
        <v>Autoshow, Wheelspin</v>
      </c>
      <c r="J76" s="2" t="str">
        <f>'Detailed Car List + Stats'!U76</f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6.5" customHeight="1">
      <c r="A77" s="6" t="str">
        <f>'Detailed Car List + Stats'!B77</f>
        <v>2005</v>
      </c>
      <c r="B77" s="6" t="str">
        <f>'Detailed Car List + Stats'!C77</f>
        <v>BMW</v>
      </c>
      <c r="C77" s="6" t="str">
        <f>'Detailed Car List + Stats'!D77</f>
        <v>M3</v>
      </c>
      <c r="D77" s="6" t="str">
        <f>'Detailed Car List + Stats'!E77</f>
        <v>Retro Super Saloons</v>
      </c>
      <c r="E77" s="25" t="s">
        <v>269</v>
      </c>
      <c r="F77" s="6" t="str">
        <f>'Detailed Car List + Stats'!G77</f>
        <v>Germany</v>
      </c>
      <c r="G77" s="19">
        <f>'Detailed Car List + Stats'!H77</f>
        <v>35000</v>
      </c>
      <c r="H77" s="20" t="s">
        <v>33</v>
      </c>
      <c r="I77" s="6" t="str">
        <f>'Detailed Car List + Stats'!T77</f>
        <v>Autoshow, Wheelspin</v>
      </c>
      <c r="J77" s="2" t="str">
        <f>'Detailed Car List + Stats'!U77</f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6.5" customHeight="1">
      <c r="A78" s="6" t="str">
        <f>'Detailed Car List + Stats'!B78</f>
        <v>2008</v>
      </c>
      <c r="B78" s="6" t="str">
        <f>'Detailed Car List + Stats'!C78</f>
        <v>BMW</v>
      </c>
      <c r="C78" s="6" t="str">
        <f>'Detailed Car List + Stats'!D78</f>
        <v>M3</v>
      </c>
      <c r="D78" s="6" t="str">
        <f>'Detailed Car List + Stats'!E78</f>
        <v>Modern Super Saloons</v>
      </c>
      <c r="E78" s="36" t="s">
        <v>271</v>
      </c>
      <c r="F78" s="6" t="str">
        <f>'Detailed Car List + Stats'!G78</f>
        <v>Germany</v>
      </c>
      <c r="G78" s="19">
        <f>'Detailed Car List + Stats'!H78</f>
        <v>43000</v>
      </c>
      <c r="H78" s="20" t="s">
        <v>33</v>
      </c>
      <c r="I78" s="6" t="str">
        <f>'Detailed Car List + Stats'!T78</f>
        <v>Autoshow, Wheelspin</v>
      </c>
      <c r="J78" s="2" t="str">
        <f>'Detailed Car List + Stats'!U78</f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6.5" customHeight="1">
      <c r="A79" s="6" t="str">
        <f>'Detailed Car List + Stats'!B79</f>
        <v>2010</v>
      </c>
      <c r="B79" s="6" t="str">
        <f>'Detailed Car List + Stats'!C79</f>
        <v>BMW</v>
      </c>
      <c r="C79" s="6" t="str">
        <f>'Detailed Car List + Stats'!D79</f>
        <v>M3 GTS</v>
      </c>
      <c r="D79" s="6" t="str">
        <f>'Detailed Car List + Stats'!E79</f>
        <v>Track Toys</v>
      </c>
      <c r="E79" s="36" t="s">
        <v>273</v>
      </c>
      <c r="F79" s="6" t="str">
        <f>'Detailed Car List + Stats'!G79</f>
        <v>Germany</v>
      </c>
      <c r="G79" s="19">
        <f>'Detailed Car List + Stats'!H79</f>
        <v>198000</v>
      </c>
      <c r="H79" s="34" t="s">
        <v>62</v>
      </c>
      <c r="I79" s="6" t="str">
        <f>'Detailed Car List + Stats'!T79</f>
        <v>Autoshow, Wheelspin</v>
      </c>
      <c r="J79" s="2" t="str">
        <f>'Detailed Car List + Stats'!U79</f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6.5" customHeight="1">
      <c r="A80" s="6" t="str">
        <f>'Detailed Car List + Stats'!B80</f>
        <v>2021</v>
      </c>
      <c r="B80" s="6" t="str">
        <f>'Detailed Car List + Stats'!C80</f>
        <v>BMW</v>
      </c>
      <c r="C80" s="6" t="str">
        <f>'Detailed Car List + Stats'!D80</f>
        <v>M4 Competition Coupé</v>
      </c>
      <c r="D80" s="6" t="str">
        <f>'Detailed Car List + Stats'!E80</f>
        <v>Modern Super Saloons</v>
      </c>
      <c r="E80" s="36" t="s">
        <v>275</v>
      </c>
      <c r="F80" s="6" t="str">
        <f>'Detailed Car List + Stats'!G80</f>
        <v>Germany</v>
      </c>
      <c r="G80" s="19">
        <f>'Detailed Car List + Stats'!H80</f>
        <v>64000</v>
      </c>
      <c r="H80" s="10" t="s">
        <v>27</v>
      </c>
      <c r="I80" s="6" t="str">
        <f>'Detailed Car List + Stats'!T80</f>
        <v>Autoshow, Wheelspin</v>
      </c>
      <c r="J80" s="2" t="str">
        <f>'Detailed Car List + Stats'!U80</f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6.5" customHeight="1">
      <c r="A81" s="37" t="str">
        <f>'Detailed Car List + Stats'!B81</f>
        <v>2021</v>
      </c>
      <c r="B81" s="37" t="str">
        <f>'Detailed Car List + Stats'!C81</f>
        <v>BMW</v>
      </c>
      <c r="C81" s="37" t="str">
        <f>'Detailed Car List + Stats'!D81</f>
        <v>M4 Competition Coupé Welcome Pack</v>
      </c>
      <c r="D81" s="37" t="str">
        <f>'Detailed Car List + Stats'!E81</f>
        <v>Modern Super Saloons</v>
      </c>
      <c r="E81" s="32" t="s">
        <v>277</v>
      </c>
      <c r="F81" s="37" t="str">
        <f>'Detailed Car List + Stats'!G81</f>
        <v>Germany</v>
      </c>
      <c r="G81" s="38">
        <f>'Detailed Car List + Stats'!H81</f>
        <v>150000</v>
      </c>
      <c r="H81" s="35" t="s">
        <v>76</v>
      </c>
      <c r="I81" s="37" t="str">
        <f>'Detailed Car List + Stats'!T81</f>
        <v>Autoshow DLC</v>
      </c>
      <c r="J81" s="37" t="str">
        <f>'Detailed Car List + Stats'!U81</f>
        <v>Welcome Pack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6.5" customHeight="1">
      <c r="A82" s="6" t="str">
        <f>'Detailed Car List + Stats'!B82</f>
        <v>2014</v>
      </c>
      <c r="B82" s="6" t="str">
        <f>'Detailed Car List + Stats'!C82</f>
        <v>BMW</v>
      </c>
      <c r="C82" s="6" t="str">
        <f>'Detailed Car List + Stats'!D82</f>
        <v>M4 Coupé</v>
      </c>
      <c r="D82" s="6" t="str">
        <f>'Detailed Car List + Stats'!E82</f>
        <v>Modern Super Saloons</v>
      </c>
      <c r="E82" s="36" t="s">
        <v>142</v>
      </c>
      <c r="F82" s="6" t="str">
        <f>'Detailed Car List + Stats'!G82</f>
        <v>Germany</v>
      </c>
      <c r="G82" s="19">
        <f>'Detailed Car List + Stats'!H82</f>
        <v>55000</v>
      </c>
      <c r="H82" s="10" t="s">
        <v>27</v>
      </c>
      <c r="I82" s="6" t="str">
        <f>'Detailed Car List + Stats'!T82</f>
        <v>Autoshow, Wheelspin</v>
      </c>
      <c r="J82" s="2" t="str">
        <f>'Detailed Car List + Stats'!U82</f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6.5" customHeight="1">
      <c r="A83" s="6" t="str">
        <f>'Detailed Car List + Stats'!B83</f>
        <v>2016</v>
      </c>
      <c r="B83" s="6" t="str">
        <f>'Detailed Car List + Stats'!C83</f>
        <v>BMW</v>
      </c>
      <c r="C83" s="6" t="str">
        <f>'Detailed Car List + Stats'!D83</f>
        <v>M4 GTS</v>
      </c>
      <c r="D83" s="6" t="str">
        <f>'Detailed Car List + Stats'!E83</f>
        <v>Track Toys</v>
      </c>
      <c r="E83" s="32" t="s">
        <v>93</v>
      </c>
      <c r="F83" s="6" t="str">
        <f>'Detailed Car List + Stats'!G83</f>
        <v>Germany</v>
      </c>
      <c r="G83" s="19">
        <f>'Detailed Car List + Stats'!H83</f>
        <v>125000</v>
      </c>
      <c r="H83" s="34" t="s">
        <v>62</v>
      </c>
      <c r="I83" s="6" t="str">
        <f>'Detailed Car List + Stats'!T83</f>
        <v>Autoshow, Wheelspin</v>
      </c>
      <c r="J83" s="2" t="str">
        <f>'Detailed Car List + Stats'!U83</f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6.5" customHeight="1">
      <c r="A84" s="6" t="str">
        <f>'Detailed Car List + Stats'!B84</f>
        <v>1988</v>
      </c>
      <c r="B84" s="6" t="str">
        <f>'Detailed Car List + Stats'!C84</f>
        <v>BMW</v>
      </c>
      <c r="C84" s="6" t="str">
        <f>'Detailed Car List + Stats'!D84</f>
        <v>M5</v>
      </c>
      <c r="D84" s="6" t="str">
        <f>'Detailed Car List + Stats'!E84</f>
        <v>Retro Super Saloons</v>
      </c>
      <c r="E84" s="8" t="s">
        <v>282</v>
      </c>
      <c r="F84" s="6" t="str">
        <f>'Detailed Car List + Stats'!G84</f>
        <v>Germany</v>
      </c>
      <c r="G84" s="19">
        <f>'Detailed Car List + Stats'!H84</f>
        <v>70000</v>
      </c>
      <c r="H84" s="10" t="s">
        <v>27</v>
      </c>
      <c r="I84" s="6" t="str">
        <f>'Detailed Car List + Stats'!T84</f>
        <v>Autoshow, Wheelspin</v>
      </c>
      <c r="J84" s="2" t="str">
        <f>'Detailed Car List + Stats'!U84</f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6.5" customHeight="1">
      <c r="A85" s="6" t="str">
        <f>'Detailed Car List + Stats'!B85</f>
        <v>1995</v>
      </c>
      <c r="B85" s="6" t="str">
        <f>'Detailed Car List + Stats'!C85</f>
        <v>BMW</v>
      </c>
      <c r="C85" s="6" t="str">
        <f>'Detailed Car List + Stats'!D85</f>
        <v>M5</v>
      </c>
      <c r="D85" s="6" t="str">
        <f>'Detailed Car List + Stats'!E85</f>
        <v>Retro Super Saloons</v>
      </c>
      <c r="E85" s="25" t="s">
        <v>283</v>
      </c>
      <c r="F85" s="6" t="str">
        <f>'Detailed Car List + Stats'!G85</f>
        <v>Germany</v>
      </c>
      <c r="G85" s="19">
        <f>'Detailed Car List + Stats'!H85</f>
        <v>48000</v>
      </c>
      <c r="H85" s="10" t="s">
        <v>27</v>
      </c>
      <c r="I85" s="6" t="str">
        <f>'Detailed Car List + Stats'!T85</f>
        <v>Autoshow, Wheelspin</v>
      </c>
      <c r="J85" s="2" t="str">
        <f>'Detailed Car List + Stats'!U85</f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6.5" customHeight="1">
      <c r="A86" s="6" t="str">
        <f>'Detailed Car List + Stats'!B86</f>
        <v>2003</v>
      </c>
      <c r="B86" s="6" t="str">
        <f>'Detailed Car List + Stats'!C86</f>
        <v>BMW</v>
      </c>
      <c r="C86" s="6" t="str">
        <f>'Detailed Car List + Stats'!D86</f>
        <v>M5</v>
      </c>
      <c r="D86" s="6" t="str">
        <f>'Detailed Car List + Stats'!E86</f>
        <v>Retro Super Saloons</v>
      </c>
      <c r="E86" s="25" t="s">
        <v>284</v>
      </c>
      <c r="F86" s="6" t="str">
        <f>'Detailed Car List + Stats'!G86</f>
        <v>Germany</v>
      </c>
      <c r="G86" s="19">
        <f>'Detailed Car List + Stats'!H86</f>
        <v>47000</v>
      </c>
      <c r="H86" s="20" t="s">
        <v>33</v>
      </c>
      <c r="I86" s="6" t="str">
        <f>'Detailed Car List + Stats'!T86</f>
        <v>Autoshow, Wheelspin</v>
      </c>
      <c r="J86" s="2" t="str">
        <f>'Detailed Car List + Stats'!U86</f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6.5" customHeight="1">
      <c r="A87" s="6" t="str">
        <f>'Detailed Car List + Stats'!B87</f>
        <v>2009</v>
      </c>
      <c r="B87" s="6" t="str">
        <f>'Detailed Car List + Stats'!C87</f>
        <v>BMW</v>
      </c>
      <c r="C87" s="6" t="str">
        <f>'Detailed Car List + Stats'!D87</f>
        <v>M5</v>
      </c>
      <c r="D87" s="6" t="str">
        <f>'Detailed Car List + Stats'!E87</f>
        <v>Modern Super Saloons</v>
      </c>
      <c r="E87" s="25" t="s">
        <v>250</v>
      </c>
      <c r="F87" s="6" t="str">
        <f>'Detailed Car List + Stats'!G87</f>
        <v>Germany</v>
      </c>
      <c r="G87" s="19">
        <f>'Detailed Car List + Stats'!H87</f>
        <v>54000</v>
      </c>
      <c r="H87" s="10" t="s">
        <v>27</v>
      </c>
      <c r="I87" s="6" t="str">
        <f>'Detailed Car List + Stats'!T87</f>
        <v>Autoshow, Wheelspin</v>
      </c>
      <c r="J87" s="2" t="str">
        <f>'Detailed Car List + Stats'!U87</f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6.5" customHeight="1">
      <c r="A88" s="6" t="str">
        <f>'Detailed Car List + Stats'!B88</f>
        <v>2012</v>
      </c>
      <c r="B88" s="6" t="str">
        <f>'Detailed Car List + Stats'!C88</f>
        <v>BMW</v>
      </c>
      <c r="C88" s="6" t="str">
        <f>'Detailed Car List + Stats'!D88</f>
        <v>M5</v>
      </c>
      <c r="D88" s="6" t="str">
        <f>'Detailed Car List + Stats'!E88</f>
        <v>Modern Super Saloons</v>
      </c>
      <c r="E88" s="36" t="s">
        <v>286</v>
      </c>
      <c r="F88" s="6" t="str">
        <f>'Detailed Car List + Stats'!G88</f>
        <v>Germany</v>
      </c>
      <c r="G88" s="19">
        <f>'Detailed Car List + Stats'!H88</f>
        <v>40000</v>
      </c>
      <c r="H88" s="10" t="s">
        <v>27</v>
      </c>
      <c r="I88" s="6" t="str">
        <f>'Detailed Car List + Stats'!T88</f>
        <v>Autoshow, Wheelspin</v>
      </c>
      <c r="J88" s="2" t="str">
        <f>'Detailed Car List + Stats'!U88</f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6.5" customHeight="1">
      <c r="A89" s="6" t="str">
        <f>'Detailed Car List + Stats'!B89</f>
        <v>2022</v>
      </c>
      <c r="B89" s="6" t="str">
        <f>'Detailed Car List + Stats'!C89</f>
        <v>BMW</v>
      </c>
      <c r="C89" s="6" t="str">
        <f>'Detailed Car List + Stats'!D89</f>
        <v>M5 CS</v>
      </c>
      <c r="D89" s="6" t="str">
        <f>'Detailed Car List + Stats'!E89</f>
        <v>Modern Super Saloons</v>
      </c>
      <c r="E89" s="32" t="s">
        <v>184</v>
      </c>
      <c r="F89" s="6" t="str">
        <f>'Detailed Car List + Stats'!G89</f>
        <v>Germany</v>
      </c>
      <c r="G89" s="19">
        <f>'Detailed Car List + Stats'!H89</f>
        <v>150000</v>
      </c>
      <c r="H89" s="10" t="s">
        <v>27</v>
      </c>
      <c r="I89" s="6" t="str">
        <f>'Detailed Car List + Stats'!T89</f>
        <v>Autoshow, Wheelspin</v>
      </c>
      <c r="J89" s="2" t="str">
        <f>'Detailed Car List + Stats'!U89</f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6.5" customHeight="1">
      <c r="A90" s="6" t="str">
        <f>'Detailed Car List + Stats'!B90</f>
        <v>2020</v>
      </c>
      <c r="B90" s="6" t="str">
        <f>'Detailed Car List + Stats'!C90</f>
        <v>BMW</v>
      </c>
      <c r="C90" s="6" t="str">
        <f>'Detailed Car List + Stats'!D90</f>
        <v>M8 Competition Coupé</v>
      </c>
      <c r="D90" s="6" t="str">
        <f>'Detailed Car List + Stats'!E90</f>
        <v>GT Cars</v>
      </c>
      <c r="E90" s="36" t="s">
        <v>289</v>
      </c>
      <c r="F90" s="6" t="str">
        <f>'Detailed Car List + Stats'!G90</f>
        <v>Germany</v>
      </c>
      <c r="G90" s="19">
        <f>'Detailed Car List + Stats'!H90</f>
        <v>100000</v>
      </c>
      <c r="H90" s="10" t="s">
        <v>27</v>
      </c>
      <c r="I90" s="6" t="str">
        <f>'Detailed Car List + Stats'!T90</f>
        <v>Autoshow, Wheelspin</v>
      </c>
      <c r="J90" s="2" t="str">
        <f>'Detailed Car List + Stats'!U90</f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6.5" customHeight="1">
      <c r="A91" s="6" t="str">
        <f>'Detailed Car List + Stats'!B91</f>
        <v>2011</v>
      </c>
      <c r="B91" s="6" t="str">
        <f>'Detailed Car List + Stats'!C91</f>
        <v>BMW</v>
      </c>
      <c r="C91" s="6" t="str">
        <f>'Detailed Car List + Stats'!D91</f>
        <v>X5 M</v>
      </c>
      <c r="D91" s="6" t="str">
        <f>'Detailed Car List + Stats'!E91</f>
        <v>Sports Utility Heroes</v>
      </c>
      <c r="E91" s="25" t="s">
        <v>291</v>
      </c>
      <c r="F91" s="6" t="str">
        <f>'Detailed Car List + Stats'!G91</f>
        <v>Germany</v>
      </c>
      <c r="G91" s="19">
        <f>'Detailed Car List + Stats'!H91</f>
        <v>24000</v>
      </c>
      <c r="H91" s="20" t="s">
        <v>33</v>
      </c>
      <c r="I91" s="6" t="str">
        <f>'Detailed Car List + Stats'!T91</f>
        <v>Autoshow, Wheelspin</v>
      </c>
      <c r="J91" s="2" t="str">
        <f>'Detailed Car List + Stats'!U91</f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6.5" customHeight="1">
      <c r="A92" s="6" t="str">
        <f>'Detailed Car List + Stats'!B92</f>
        <v>2024</v>
      </c>
      <c r="B92" s="6" t="str">
        <f>'Detailed Car List + Stats'!C92</f>
        <v>BMW</v>
      </c>
      <c r="C92" s="6" t="str">
        <f>'Detailed Car List + Stats'!D92</f>
        <v>X6 M Competition</v>
      </c>
      <c r="D92" s="6" t="str">
        <f>'Detailed Car List + Stats'!E92</f>
        <v>Sports Utility Heroes</v>
      </c>
      <c r="E92" s="36" t="s">
        <v>294</v>
      </c>
      <c r="F92" s="6" t="str">
        <f>'Detailed Car List + Stats'!G92</f>
        <v>Germany</v>
      </c>
      <c r="G92" s="19">
        <f>'Detailed Car List + Stats'!H92</f>
        <v>140000</v>
      </c>
      <c r="H92" s="34" t="s">
        <v>62</v>
      </c>
      <c r="I92" s="6" t="str">
        <f>'Detailed Car List + Stats'!T92</f>
        <v>Autoshow, Wheelspin</v>
      </c>
      <c r="J92" s="2" t="str">
        <f>'Detailed Car List + Stats'!U92</f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6.5" customHeight="1">
      <c r="A93" s="6" t="str">
        <f>'Detailed Car List + Stats'!B93</f>
        <v>2008</v>
      </c>
      <c r="B93" s="6" t="str">
        <f>'Detailed Car List + Stats'!C93</f>
        <v>BMW</v>
      </c>
      <c r="C93" s="6" t="str">
        <f>'Detailed Car List + Stats'!D93</f>
        <v>Z4 M Coupé</v>
      </c>
      <c r="D93" s="6" t="str">
        <f>'Detailed Car List + Stats'!E93</f>
        <v>Modern Sports Cars</v>
      </c>
      <c r="E93" s="25" t="s">
        <v>296</v>
      </c>
      <c r="F93" s="6" t="str">
        <f>'Detailed Car List + Stats'!G93</f>
        <v>Germany</v>
      </c>
      <c r="G93" s="19">
        <f>'Detailed Car List + Stats'!H93</f>
        <v>63000</v>
      </c>
      <c r="H93" s="10" t="s">
        <v>27</v>
      </c>
      <c r="I93" s="6" t="str">
        <f>'Detailed Car List + Stats'!T93</f>
        <v>Autoshow, Wheelspin</v>
      </c>
      <c r="J93" s="2" t="str">
        <f>'Detailed Car List + Stats'!U93</f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6.5" customHeight="1">
      <c r="A94" s="6" t="str">
        <f>'Detailed Car List + Stats'!B94</f>
        <v>2019</v>
      </c>
      <c r="B94" s="6" t="str">
        <f>'Detailed Car List + Stats'!C94</f>
        <v>BMW</v>
      </c>
      <c r="C94" s="6" t="str">
        <f>'Detailed Car List + Stats'!D94</f>
        <v>Z4 Roadster</v>
      </c>
      <c r="D94" s="6" t="str">
        <f>'Detailed Car List + Stats'!E94</f>
        <v>Modern Sports Cars</v>
      </c>
      <c r="E94" s="36" t="s">
        <v>298</v>
      </c>
      <c r="F94" s="6" t="str">
        <f>'Detailed Car List + Stats'!G94</f>
        <v>Germany</v>
      </c>
      <c r="G94" s="19">
        <f>'Detailed Car List + Stats'!H94</f>
        <v>38000</v>
      </c>
      <c r="H94" s="20" t="s">
        <v>33</v>
      </c>
      <c r="I94" s="6" t="str">
        <f>'Detailed Car List + Stats'!T94</f>
        <v>Autoshow, Collection Journal, Wheelspin</v>
      </c>
      <c r="J94" s="2" t="str">
        <f>'Detailed Car List + Stats'!U94</f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6.5" customHeight="1">
      <c r="A95" s="6" t="str">
        <f>'Detailed Car List + Stats'!B95</f>
        <v>1987</v>
      </c>
      <c r="B95" s="6" t="str">
        <f>'Detailed Car List + Stats'!C95</f>
        <v>Buick</v>
      </c>
      <c r="C95" s="6" t="str">
        <f>'Detailed Car List + Stats'!D95</f>
        <v>Regal GNX</v>
      </c>
      <c r="D95" s="6" t="str">
        <f>'Detailed Car List + Stats'!E95</f>
        <v>Retro Muscle</v>
      </c>
      <c r="E95" s="8" t="s">
        <v>303</v>
      </c>
      <c r="F95" s="6" t="str">
        <f>'Detailed Car List + Stats'!G95</f>
        <v>USA</v>
      </c>
      <c r="G95" s="19">
        <f>'Detailed Car List + Stats'!H95</f>
        <v>255000</v>
      </c>
      <c r="H95" s="34" t="s">
        <v>62</v>
      </c>
      <c r="I95" s="6" t="str">
        <f>'Detailed Car List + Stats'!T95</f>
        <v>Autoshow</v>
      </c>
      <c r="J95" s="2" t="str">
        <f>'Detailed Car List + Stats'!U95</f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6.5" customHeight="1">
      <c r="A96" s="6" t="str">
        <f>'Detailed Car List + Stats'!B96</f>
        <v>2016</v>
      </c>
      <c r="B96" s="6" t="str">
        <f>'Detailed Car List + Stats'!C96</f>
        <v>Cadillac</v>
      </c>
      <c r="C96" s="6" t="str">
        <f>'Detailed Car List + Stats'!D96</f>
        <v>ATS-V</v>
      </c>
      <c r="D96" s="6" t="str">
        <f>'Detailed Car List + Stats'!E96</f>
        <v>Modern Muscle</v>
      </c>
      <c r="E96" s="36" t="s">
        <v>136</v>
      </c>
      <c r="F96" s="6" t="str">
        <f>'Detailed Car List + Stats'!G96</f>
        <v>USA</v>
      </c>
      <c r="G96" s="19">
        <f>'Detailed Car List + Stats'!H96</f>
        <v>41000</v>
      </c>
      <c r="H96" s="20" t="s">
        <v>33</v>
      </c>
      <c r="I96" s="6" t="str">
        <f>'Detailed Car List + Stats'!T96</f>
        <v>Autoshow, Wheelspin</v>
      </c>
      <c r="J96" s="2" t="str">
        <f>'Detailed Car List + Stats'!U96</f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6.5" customHeight="1">
      <c r="A97" s="6" t="str">
        <f>'Detailed Car List + Stats'!B97</f>
        <v>2022</v>
      </c>
      <c r="B97" s="6" t="str">
        <f>'Detailed Car List + Stats'!C97</f>
        <v>Cadillac</v>
      </c>
      <c r="C97" s="6" t="str">
        <f>'Detailed Car List + Stats'!D97</f>
        <v>CT4-V Blackwing</v>
      </c>
      <c r="D97" s="6" t="str">
        <f>'Detailed Car List + Stats'!E97</f>
        <v>Modern Muscle</v>
      </c>
      <c r="E97" s="36" t="s">
        <v>205</v>
      </c>
      <c r="F97" s="6" t="str">
        <f>'Detailed Car List + Stats'!G97</f>
        <v>USA</v>
      </c>
      <c r="G97" s="19">
        <f>'Detailed Car List + Stats'!H97</f>
        <v>55000</v>
      </c>
      <c r="H97" s="10" t="s">
        <v>27</v>
      </c>
      <c r="I97" s="6" t="str">
        <f>'Detailed Car List + Stats'!T97</f>
        <v>Autoshow, Wheelspin</v>
      </c>
      <c r="J97" s="2" t="str">
        <f>'Detailed Car List + Stats'!U97</f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6.5" customHeight="1">
      <c r="A98" s="6" t="str">
        <f>'Detailed Car List + Stats'!B98</f>
        <v>2022</v>
      </c>
      <c r="B98" s="6" t="str">
        <f>'Detailed Car List + Stats'!C98</f>
        <v>Cadillac</v>
      </c>
      <c r="C98" s="6" t="str">
        <f>'Detailed Car List + Stats'!D98</f>
        <v>CT5-V Blackwing</v>
      </c>
      <c r="D98" s="6" t="str">
        <f>'Detailed Car List + Stats'!E98</f>
        <v>Modern Muscle</v>
      </c>
      <c r="E98" s="32" t="s">
        <v>309</v>
      </c>
      <c r="F98" s="6" t="str">
        <f>'Detailed Car List + Stats'!G98</f>
        <v>USA</v>
      </c>
      <c r="G98" s="19">
        <f>'Detailed Car List + Stats'!H98</f>
        <v>90000</v>
      </c>
      <c r="H98" s="10" t="s">
        <v>27</v>
      </c>
      <c r="I98" s="6" t="str">
        <f>'Detailed Car List + Stats'!T98</f>
        <v>Autoshow, Wheelspin</v>
      </c>
      <c r="J98" s="2" t="str">
        <f>'Detailed Car List + Stats'!U98</f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6.5" customHeight="1">
      <c r="A99" s="6" t="str">
        <f>'Detailed Car List + Stats'!B99</f>
        <v>2016</v>
      </c>
      <c r="B99" s="6" t="str">
        <f>'Detailed Car List + Stats'!C99</f>
        <v>Cadillac</v>
      </c>
      <c r="C99" s="6" t="str">
        <f>'Detailed Car List + Stats'!D99</f>
        <v>CTS-V Sedan</v>
      </c>
      <c r="D99" s="6" t="str">
        <f>'Detailed Car List + Stats'!E99</f>
        <v>Modern Muscle</v>
      </c>
      <c r="E99" s="36" t="s">
        <v>311</v>
      </c>
      <c r="F99" s="6" t="str">
        <f>'Detailed Car List + Stats'!G99</f>
        <v>USA</v>
      </c>
      <c r="G99" s="19">
        <f>'Detailed Car List + Stats'!H99</f>
        <v>60000</v>
      </c>
      <c r="H99" s="20" t="s">
        <v>33</v>
      </c>
      <c r="I99" s="6" t="str">
        <f>'Detailed Car List + Stats'!T99</f>
        <v>Autoshow, Wheelspin</v>
      </c>
      <c r="J99" s="2" t="str">
        <f>'Detailed Car List + Stats'!U99</f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6.5" customHeight="1">
      <c r="A100" s="6" t="str">
        <f>'Detailed Car List + Stats'!B100</f>
        <v>2013</v>
      </c>
      <c r="B100" s="6" t="str">
        <f>'Detailed Car List + Stats'!C100</f>
        <v>Cadillac</v>
      </c>
      <c r="C100" s="6" t="str">
        <f>'Detailed Car List + Stats'!D100</f>
        <v>XTS Limousine</v>
      </c>
      <c r="D100" s="6" t="str">
        <f>'Detailed Car List + Stats'!E100</f>
        <v>Modern Super Saloons</v>
      </c>
      <c r="E100" s="17" t="s">
        <v>313</v>
      </c>
      <c r="F100" s="6" t="str">
        <f>'Detailed Car List + Stats'!G100</f>
        <v>USA</v>
      </c>
      <c r="G100" s="19">
        <f>'Detailed Car List + Stats'!H100</f>
        <v>44000</v>
      </c>
      <c r="H100" s="10" t="s">
        <v>27</v>
      </c>
      <c r="I100" s="6" t="str">
        <f>'Detailed Car List + Stats'!T100</f>
        <v>Autoshow, Wheelspin</v>
      </c>
      <c r="J100" s="2" t="str">
        <f>'Detailed Car List + Stats'!U100</f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6.5" customHeight="1">
      <c r="A101" s="6" t="str">
        <f>'Detailed Car List + Stats'!B101</f>
        <v>2018</v>
      </c>
      <c r="B101" s="6" t="str">
        <f>'Detailed Car List + Stats'!C101</f>
        <v>Can-Am</v>
      </c>
      <c r="C101" s="6" t="str">
        <f>'Detailed Car List + Stats'!D101</f>
        <v>Maverick X RS Turbo R</v>
      </c>
      <c r="D101" s="6" t="str">
        <f>'Detailed Car List + Stats'!E101</f>
        <v>UTVs</v>
      </c>
      <c r="E101" s="25" t="s">
        <v>317</v>
      </c>
      <c r="F101" s="6" t="str">
        <f>'Detailed Car List + Stats'!G101</f>
        <v>Canada</v>
      </c>
      <c r="G101" s="19">
        <f>'Detailed Car List + Stats'!H101</f>
        <v>16000</v>
      </c>
      <c r="H101" s="20" t="s">
        <v>33</v>
      </c>
      <c r="I101" s="6" t="str">
        <f>'Detailed Car List + Stats'!T101</f>
        <v>Autoshow, Wheelspin</v>
      </c>
      <c r="J101" s="2" t="str">
        <f>'Detailed Car List + Stats'!U101</f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6.5" customHeight="1">
      <c r="A102" s="5" t="str">
        <f>'Detailed Car List + Stats'!B102</f>
        <v>2019</v>
      </c>
      <c r="B102" s="5" t="str">
        <f>'Detailed Car List + Stats'!C102</f>
        <v>Casey Currie Motorsports</v>
      </c>
      <c r="C102" s="5" t="str">
        <f>'Detailed Car List + Stats'!D102</f>
        <v>#4402 Ultra 4 'Trophy Jeep'</v>
      </c>
      <c r="D102" s="5" t="str">
        <f>'Detailed Car List + Stats'!E102</f>
        <v>Unlimited Offroad</v>
      </c>
      <c r="E102" s="36" t="s">
        <v>321</v>
      </c>
      <c r="F102" s="5" t="str">
        <f>'Detailed Car List + Stats'!G102</f>
        <v>USA</v>
      </c>
      <c r="G102" s="9" t="str">
        <f>'Detailed Car List + Stats'!H102</f>
        <v/>
      </c>
      <c r="H102" s="48"/>
      <c r="I102" s="5" t="str">
        <f>'Detailed Car List + Stats'!T102</f>
        <v>Wheelspin, Seasonal</v>
      </c>
      <c r="J102" s="21" t="str">
        <f>'Detailed Car List + Stats'!U102</f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6.5" customHeight="1">
      <c r="A103" s="6" t="str">
        <f>'Detailed Car List + Stats'!B103</f>
        <v>1955</v>
      </c>
      <c r="B103" s="6" t="str">
        <f>'Detailed Car List + Stats'!C103</f>
        <v>Chevrolet</v>
      </c>
      <c r="C103" s="6" t="str">
        <f>'Detailed Car List + Stats'!D103</f>
        <v>150 Utility Sedan</v>
      </c>
      <c r="D103" s="6" t="str">
        <f>'Detailed Car List + Stats'!E103</f>
        <v>Rods &amp; Customs</v>
      </c>
      <c r="E103" s="17" t="s">
        <v>326</v>
      </c>
      <c r="F103" s="6" t="str">
        <f>'Detailed Car List + Stats'!G103</f>
        <v>USA</v>
      </c>
      <c r="G103" s="19">
        <f>'Detailed Car List + Stats'!H103</f>
        <v>140000</v>
      </c>
      <c r="H103" s="20" t="s">
        <v>33</v>
      </c>
      <c r="I103" s="6" t="str">
        <f>'Detailed Car List + Stats'!T103</f>
        <v>Autoshow, Wheelspin</v>
      </c>
      <c r="J103" s="2" t="str">
        <f>'Detailed Car List + Stats'!U103</f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6.5" customHeight="1">
      <c r="A104" s="6" t="str">
        <f>'Detailed Car List + Stats'!B104</f>
        <v>1957</v>
      </c>
      <c r="B104" s="6" t="str">
        <f>'Detailed Car List + Stats'!C104</f>
        <v>Chevrolet</v>
      </c>
      <c r="C104" s="6" t="str">
        <f>'Detailed Car List + Stats'!D104</f>
        <v>Bel Air</v>
      </c>
      <c r="D104" s="6" t="str">
        <f>'Detailed Car List + Stats'!E104</f>
        <v>Rods &amp; Customs</v>
      </c>
      <c r="E104" s="17" t="s">
        <v>328</v>
      </c>
      <c r="F104" s="6" t="str">
        <f>'Detailed Car List + Stats'!G104</f>
        <v>USA</v>
      </c>
      <c r="G104" s="19">
        <f>'Detailed Car List + Stats'!H104</f>
        <v>69000</v>
      </c>
      <c r="H104" s="10" t="s">
        <v>27</v>
      </c>
      <c r="I104" s="6" t="str">
        <f>'Detailed Car List + Stats'!T104</f>
        <v>Autoshow, Wheelspin</v>
      </c>
      <c r="J104" s="2" t="str">
        <f>'Detailed Car List + Stats'!U104</f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6.5" customHeight="1">
      <c r="A105" s="6" t="str">
        <f>'Detailed Car List + Stats'!B105</f>
        <v>1969</v>
      </c>
      <c r="B105" s="6" t="str">
        <f>'Detailed Car List + Stats'!C105</f>
        <v>Chevrolet</v>
      </c>
      <c r="C105" s="6" t="str">
        <f>'Detailed Car List + Stats'!D105</f>
        <v>Camaro Super Sport Coupe</v>
      </c>
      <c r="D105" s="6" t="str">
        <f>'Detailed Car List + Stats'!E105</f>
        <v>Classic Muscle</v>
      </c>
      <c r="E105" s="8" t="s">
        <v>57</v>
      </c>
      <c r="F105" s="6" t="str">
        <f>'Detailed Car List + Stats'!G105</f>
        <v>USA</v>
      </c>
      <c r="G105" s="19">
        <f>'Detailed Car List + Stats'!H105</f>
        <v>75000</v>
      </c>
      <c r="H105" s="10" t="s">
        <v>27</v>
      </c>
      <c r="I105" s="6" t="str">
        <f>'Detailed Car List + Stats'!T105</f>
        <v>Autoshow, Wheelspin</v>
      </c>
      <c r="J105" s="2" t="str">
        <f>'Detailed Car List + Stats'!U105</f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6.5" customHeight="1">
      <c r="A106" s="6" t="str">
        <f>'Detailed Car List + Stats'!B106</f>
        <v>2015</v>
      </c>
      <c r="B106" s="6" t="str">
        <f>'Detailed Car List + Stats'!C106</f>
        <v>Chevrolet</v>
      </c>
      <c r="C106" s="6" t="str">
        <f>'Detailed Car List + Stats'!D106</f>
        <v>Camaro Z/28</v>
      </c>
      <c r="D106" s="6" t="str">
        <f>'Detailed Car List + Stats'!E106</f>
        <v>Track Toys</v>
      </c>
      <c r="E106" s="36" t="s">
        <v>333</v>
      </c>
      <c r="F106" s="6" t="str">
        <f>'Detailed Car List + Stats'!G106</f>
        <v>USA</v>
      </c>
      <c r="G106" s="19">
        <f>'Detailed Car List + Stats'!H106</f>
        <v>65000</v>
      </c>
      <c r="H106" s="10" t="s">
        <v>27</v>
      </c>
      <c r="I106" s="6" t="str">
        <f>'Detailed Car List + Stats'!T106</f>
        <v>Autoshow, Wheelspin</v>
      </c>
      <c r="J106" s="2" t="str">
        <f>'Detailed Car List + Stats'!U106</f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6.5" customHeight="1">
      <c r="A107" s="6" t="str">
        <f>'Detailed Car List + Stats'!B107</f>
        <v>1970</v>
      </c>
      <c r="B107" s="6" t="str">
        <f>'Detailed Car List + Stats'!C107</f>
        <v>Chevrolet</v>
      </c>
      <c r="C107" s="6" t="str">
        <f>'Detailed Car List + Stats'!D107</f>
        <v>Camaro Z28</v>
      </c>
      <c r="D107" s="6" t="str">
        <f>'Detailed Car List + Stats'!E107</f>
        <v>Classic Muscle</v>
      </c>
      <c r="E107" s="8" t="s">
        <v>336</v>
      </c>
      <c r="F107" s="6" t="str">
        <f>'Detailed Car List + Stats'!G107</f>
        <v>USA</v>
      </c>
      <c r="G107" s="19">
        <f>'Detailed Car List + Stats'!H107</f>
        <v>55000</v>
      </c>
      <c r="H107" s="10" t="s">
        <v>27</v>
      </c>
      <c r="I107" s="6" t="str">
        <f>'Detailed Car List + Stats'!T107</f>
        <v>Autoshow, Wheelspin</v>
      </c>
      <c r="J107" s="2" t="str">
        <f>'Detailed Car List + Stats'!U107</f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6.5" customHeight="1">
      <c r="A108" s="6" t="str">
        <f>'Detailed Car List + Stats'!B108</f>
        <v>1979</v>
      </c>
      <c r="B108" s="6" t="str">
        <f>'Detailed Car List + Stats'!C108</f>
        <v>Chevrolet</v>
      </c>
      <c r="C108" s="6" t="str">
        <f>'Detailed Car List + Stats'!D108</f>
        <v>Camaro Z28</v>
      </c>
      <c r="D108" s="6" t="str">
        <f>'Detailed Car List + Stats'!E108</f>
        <v>Classic Muscle</v>
      </c>
      <c r="E108" s="17" t="s">
        <v>338</v>
      </c>
      <c r="F108" s="6" t="str">
        <f>'Detailed Car List + Stats'!G108</f>
        <v>USA</v>
      </c>
      <c r="G108" s="19">
        <f>'Detailed Car List + Stats'!H108</f>
        <v>20000</v>
      </c>
      <c r="H108" s="10" t="s">
        <v>27</v>
      </c>
      <c r="I108" s="6" t="str">
        <f>'Detailed Car List + Stats'!T108</f>
        <v>Autoshow, Wheelspin</v>
      </c>
      <c r="J108" s="2" t="str">
        <f>'Detailed Car List + Stats'!U108</f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6.5" customHeight="1">
      <c r="A109" s="6" t="str">
        <f>'Detailed Car List + Stats'!B109</f>
        <v>2017</v>
      </c>
      <c r="B109" s="6" t="str">
        <f>'Detailed Car List + Stats'!C109</f>
        <v>Chevrolet</v>
      </c>
      <c r="C109" s="6" t="str">
        <f>'Detailed Car List + Stats'!D109</f>
        <v>Camaro ZL1</v>
      </c>
      <c r="D109" s="6" t="str">
        <f>'Detailed Car List + Stats'!E109</f>
        <v>Modern Muscle</v>
      </c>
      <c r="E109" s="32" t="s">
        <v>340</v>
      </c>
      <c r="F109" s="6" t="str">
        <f>'Detailed Car List + Stats'!G109</f>
        <v>USA</v>
      </c>
      <c r="G109" s="19">
        <f>'Detailed Car List + Stats'!H109</f>
        <v>55000</v>
      </c>
      <c r="H109" s="10" t="s">
        <v>27</v>
      </c>
      <c r="I109" s="6" t="str">
        <f>'Detailed Car List + Stats'!T109</f>
        <v>Autoshow, Wheelspin</v>
      </c>
      <c r="J109" s="2" t="str">
        <f>'Detailed Car List + Stats'!U109</f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6.5" customHeight="1">
      <c r="A110" s="5" t="str">
        <f>'Detailed Car List + Stats'!B110</f>
        <v>2024</v>
      </c>
      <c r="B110" s="5" t="str">
        <f>'Detailed Car List + Stats'!C110</f>
        <v>Chevrolet</v>
      </c>
      <c r="C110" s="5" t="str">
        <f>'Detailed Car List + Stats'!D110</f>
        <v>Camaro ZL1</v>
      </c>
      <c r="D110" s="5" t="str">
        <f>'Detailed Car List + Stats'!E110</f>
        <v>Modern Muscle</v>
      </c>
      <c r="E110" s="32" t="s">
        <v>341</v>
      </c>
      <c r="F110" s="5" t="str">
        <f>'Detailed Car List + Stats'!G110</f>
        <v>USA</v>
      </c>
      <c r="G110" s="9" t="str">
        <f>'Detailed Car List + Stats'!H110</f>
        <v/>
      </c>
      <c r="H110" s="19"/>
      <c r="I110" s="5" t="str">
        <f>'Detailed Car List + Stats'!T110</f>
        <v>Seasonal</v>
      </c>
      <c r="J110" s="21" t="str">
        <f>'Detailed Car List + Stats'!U110</f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6.5" customHeight="1">
      <c r="A111" s="6" t="str">
        <f>'Detailed Car List + Stats'!B111</f>
        <v>2018</v>
      </c>
      <c r="B111" s="6" t="str">
        <f>'Detailed Car List + Stats'!C111</f>
        <v>Chevrolet</v>
      </c>
      <c r="C111" s="6" t="str">
        <f>'Detailed Car List + Stats'!D111</f>
        <v>Camaro ZL1 1LE</v>
      </c>
      <c r="D111" s="6" t="str">
        <f>'Detailed Car List + Stats'!E111</f>
        <v>Track Toys</v>
      </c>
      <c r="E111" s="32" t="s">
        <v>343</v>
      </c>
      <c r="F111" s="6" t="str">
        <f>'Detailed Car List + Stats'!G111</f>
        <v>USA</v>
      </c>
      <c r="G111" s="19">
        <f>'Detailed Car List + Stats'!H111</f>
        <v>70000</v>
      </c>
      <c r="H111" s="10" t="s">
        <v>27</v>
      </c>
      <c r="I111" s="6" t="str">
        <f>'Detailed Car List + Stats'!T111</f>
        <v>Autoshow, Wheelspin</v>
      </c>
      <c r="J111" s="2" t="str">
        <f>'Detailed Car List + Stats'!U111</f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6.5" customHeight="1">
      <c r="A112" s="6" t="str">
        <f>'Detailed Car List + Stats'!B112</f>
        <v>1970</v>
      </c>
      <c r="B112" s="6" t="str">
        <f>'Detailed Car List + Stats'!C112</f>
        <v>Chevrolet</v>
      </c>
      <c r="C112" s="6" t="str">
        <f>'Detailed Car List + Stats'!D112</f>
        <v>Chevelle Super Sport 454</v>
      </c>
      <c r="D112" s="6" t="str">
        <f>'Detailed Car List + Stats'!E112</f>
        <v>Classic Muscle</v>
      </c>
      <c r="E112" s="8" t="s">
        <v>241</v>
      </c>
      <c r="F112" s="6" t="str">
        <f>'Detailed Car List + Stats'!G112</f>
        <v>USA</v>
      </c>
      <c r="G112" s="19">
        <f>'Detailed Car List + Stats'!H112</f>
        <v>90000</v>
      </c>
      <c r="H112" s="10" t="s">
        <v>27</v>
      </c>
      <c r="I112" s="6" t="str">
        <f>'Detailed Car List + Stats'!T112</f>
        <v>Autoshow, Wheelspin</v>
      </c>
      <c r="J112" s="2" t="str">
        <f>'Detailed Car List + Stats'!U112</f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6.5" customHeight="1">
      <c r="A113" s="6" t="str">
        <f>'Detailed Car List + Stats'!B113</f>
        <v>1953</v>
      </c>
      <c r="B113" s="6" t="str">
        <f>'Detailed Car List + Stats'!C113</f>
        <v>Chevrolet</v>
      </c>
      <c r="C113" s="6" t="str">
        <f>'Detailed Car List + Stats'!D113</f>
        <v>Corvette</v>
      </c>
      <c r="D113" s="6" t="str">
        <f>'Detailed Car List + Stats'!E113</f>
        <v>Classic Sports Cars</v>
      </c>
      <c r="E113" s="17" t="s">
        <v>347</v>
      </c>
      <c r="F113" s="6" t="str">
        <f>'Detailed Car List + Stats'!G113</f>
        <v>USA</v>
      </c>
      <c r="G113" s="19">
        <f>'Detailed Car List + Stats'!H113</f>
        <v>269000</v>
      </c>
      <c r="H113" s="35" t="s">
        <v>76</v>
      </c>
      <c r="I113" s="6" t="str">
        <f>'Detailed Car List + Stats'!T113</f>
        <v>Autoshow, Wheelspin</v>
      </c>
      <c r="J113" s="2" t="str">
        <f>'Detailed Car List + Stats'!U113</f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6.5" customHeight="1">
      <c r="A114" s="5" t="str">
        <f>'Detailed Car List + Stats'!B114</f>
        <v>1960</v>
      </c>
      <c r="B114" s="5" t="str">
        <f>'Detailed Car List + Stats'!C114</f>
        <v>Chevrolet</v>
      </c>
      <c r="C114" s="5" t="str">
        <f>'Detailed Car List + Stats'!D114</f>
        <v>Corvette</v>
      </c>
      <c r="D114" s="5" t="str">
        <f>'Detailed Car List + Stats'!E114</f>
        <v>Classic Sports Cars</v>
      </c>
      <c r="E114" s="8" t="s">
        <v>349</v>
      </c>
      <c r="F114" s="5" t="str">
        <f>'Detailed Car List + Stats'!G114</f>
        <v>USA</v>
      </c>
      <c r="G114" s="9" t="str">
        <f>'Detailed Car List + Stats'!H114</f>
        <v/>
      </c>
      <c r="H114" s="48"/>
      <c r="I114" s="5" t="str">
        <f>'Detailed Car List + Stats'!T114</f>
        <v>Wheelspin, Seasonal</v>
      </c>
      <c r="J114" s="21" t="str">
        <f>'Detailed Car List + Stats'!U114</f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6.5" customHeight="1">
      <c r="A115" s="6" t="str">
        <f>'Detailed Car List + Stats'!B115</f>
        <v>2024</v>
      </c>
      <c r="B115" s="6" t="str">
        <f>'Detailed Car List + Stats'!C115</f>
        <v>Chevrolet</v>
      </c>
      <c r="C115" s="6" t="str">
        <f>'Detailed Car List + Stats'!D115</f>
        <v>Corvette E-Ray</v>
      </c>
      <c r="D115" s="6" t="str">
        <f>'Detailed Car List + Stats'!E115</f>
        <v>Modern Supercars</v>
      </c>
      <c r="E115" s="32" t="s">
        <v>351</v>
      </c>
      <c r="F115" s="6" t="str">
        <f>'Detailed Car List + Stats'!G115</f>
        <v>USA</v>
      </c>
      <c r="G115" s="19">
        <f>'Detailed Car List + Stats'!H115</f>
        <v>114000</v>
      </c>
      <c r="H115" s="34" t="s">
        <v>62</v>
      </c>
      <c r="I115" s="6" t="str">
        <f>'Detailed Car List + Stats'!T115</f>
        <v>Autoshow, Wheelspin, Loyalty</v>
      </c>
      <c r="J115" s="2" t="str">
        <f>'Detailed Car List + Stats'!U115</f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6.5" customHeight="1">
      <c r="A116" s="5" t="str">
        <f>'Detailed Car List + Stats'!B116</f>
        <v>1967</v>
      </c>
      <c r="B116" s="5" t="str">
        <f>'Detailed Car List + Stats'!C116</f>
        <v>Chevrolet</v>
      </c>
      <c r="C116" s="5" t="str">
        <f>'Detailed Car List + Stats'!D116</f>
        <v>Corvette Stingray 427</v>
      </c>
      <c r="D116" s="5" t="str">
        <f>'Detailed Car List + Stats'!E116</f>
        <v>Classic Muscle</v>
      </c>
      <c r="E116" s="25" t="s">
        <v>254</v>
      </c>
      <c r="F116" s="5" t="str">
        <f>'Detailed Car List + Stats'!G116</f>
        <v>USA</v>
      </c>
      <c r="G116" s="9" t="str">
        <f>'Detailed Car List + Stats'!H116</f>
        <v/>
      </c>
      <c r="H116" s="48"/>
      <c r="I116" s="5" t="str">
        <f>'Detailed Car List + Stats'!T116</f>
        <v>Collection Journal, Seasonal</v>
      </c>
      <c r="J116" s="21" t="str">
        <f>'Detailed Car List + Stats'!U116</f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6.5" customHeight="1">
      <c r="A117" s="6" t="str">
        <f>'Detailed Car List + Stats'!B117</f>
        <v>2020</v>
      </c>
      <c r="B117" s="6" t="str">
        <f>'Detailed Car List + Stats'!C117</f>
        <v>Chevrolet</v>
      </c>
      <c r="C117" s="6" t="str">
        <f>'Detailed Car List + Stats'!D117</f>
        <v>Corvette Stingray Coupe</v>
      </c>
      <c r="D117" s="6" t="str">
        <f>'Detailed Car List + Stats'!E117</f>
        <v>Modern Supercars</v>
      </c>
      <c r="E117" s="36" t="s">
        <v>262</v>
      </c>
      <c r="F117" s="6" t="str">
        <f>'Detailed Car List + Stats'!G117</f>
        <v>USA</v>
      </c>
      <c r="G117" s="19">
        <f>'Detailed Car List + Stats'!H117</f>
        <v>65000</v>
      </c>
      <c r="H117" s="10" t="s">
        <v>27</v>
      </c>
      <c r="I117" s="6" t="str">
        <f>'Detailed Car List + Stats'!T117</f>
        <v>Autoshow, Wheelspin</v>
      </c>
      <c r="J117" s="2" t="str">
        <f>'Detailed Car List + Stats'!U117</f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6.5" customHeight="1">
      <c r="A118" s="6" t="str">
        <f>'Detailed Car List + Stats'!B118</f>
        <v>2002</v>
      </c>
      <c r="B118" s="6" t="str">
        <f>'Detailed Car List + Stats'!C118</f>
        <v>Chevrolet</v>
      </c>
      <c r="C118" s="6" t="str">
        <f>'Detailed Car List + Stats'!D118</f>
        <v>Corvette Z06</v>
      </c>
      <c r="D118" s="6" t="str">
        <f>'Detailed Car List + Stats'!E118</f>
        <v>Retro Muscle</v>
      </c>
      <c r="E118" s="36" t="s">
        <v>356</v>
      </c>
      <c r="F118" s="6" t="str">
        <f>'Detailed Car List + Stats'!G118</f>
        <v>USA</v>
      </c>
      <c r="G118" s="19">
        <f>'Detailed Car List + Stats'!H118</f>
        <v>33000</v>
      </c>
      <c r="H118" s="20" t="s">
        <v>33</v>
      </c>
      <c r="I118" s="6" t="str">
        <f>'Detailed Car List + Stats'!T118</f>
        <v>Autoshow, Wheelspin</v>
      </c>
      <c r="J118" s="2" t="str">
        <f>'Detailed Car List + Stats'!U118</f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6.5" customHeight="1">
      <c r="A119" s="6" t="str">
        <f>'Detailed Car List + Stats'!B119</f>
        <v>2015</v>
      </c>
      <c r="B119" s="6" t="str">
        <f>'Detailed Car List + Stats'!C119</f>
        <v>Chevrolet</v>
      </c>
      <c r="C119" s="6" t="str">
        <f>'Detailed Car List + Stats'!D119</f>
        <v>Corvette Z06</v>
      </c>
      <c r="D119" s="6" t="str">
        <f>'Detailed Car List + Stats'!E119</f>
        <v>Modern Muscle</v>
      </c>
      <c r="E119" s="32" t="s">
        <v>357</v>
      </c>
      <c r="F119" s="6" t="str">
        <f>'Detailed Car List + Stats'!G119</f>
        <v>USA</v>
      </c>
      <c r="G119" s="19">
        <f>'Detailed Car List + Stats'!H119</f>
        <v>100000</v>
      </c>
      <c r="H119" s="10" t="s">
        <v>27</v>
      </c>
      <c r="I119" s="6" t="str">
        <f>'Detailed Car List + Stats'!T119</f>
        <v>Autoshow, Wheelspin</v>
      </c>
      <c r="J119" s="2" t="str">
        <f>'Detailed Car List + Stats'!U119</f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6.5" customHeight="1">
      <c r="A120" s="6" t="str">
        <f>'Detailed Car List + Stats'!B120</f>
        <v>2023</v>
      </c>
      <c r="B120" s="6" t="str">
        <f>'Detailed Car List + Stats'!C120</f>
        <v>Chevrolet</v>
      </c>
      <c r="C120" s="6" t="str">
        <f>'Detailed Car List + Stats'!D120</f>
        <v>Corvette Z06</v>
      </c>
      <c r="D120" s="6" t="str">
        <f>'Detailed Car List + Stats'!E120</f>
        <v>Track Toys</v>
      </c>
      <c r="E120" s="32" t="s">
        <v>358</v>
      </c>
      <c r="F120" s="6" t="str">
        <f>'Detailed Car List + Stats'!G120</f>
        <v>USA</v>
      </c>
      <c r="G120" s="19">
        <f>'Detailed Car List + Stats'!H120</f>
        <v>155000</v>
      </c>
      <c r="H120" s="34" t="s">
        <v>62</v>
      </c>
      <c r="I120" s="6" t="str">
        <f>'Detailed Car List + Stats'!T120</f>
        <v>Autoshow, Wheelspin</v>
      </c>
      <c r="J120" s="2" t="str">
        <f>'Detailed Car List + Stats'!U120</f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6.5" customHeight="1">
      <c r="A121" s="6" t="str">
        <f>'Detailed Car List + Stats'!B121</f>
        <v>1970</v>
      </c>
      <c r="B121" s="6" t="str">
        <f>'Detailed Car List + Stats'!C121</f>
        <v>Chevrolet</v>
      </c>
      <c r="C121" s="6" t="str">
        <f>'Detailed Car List + Stats'!D121</f>
        <v>Corvette ZR-1</v>
      </c>
      <c r="D121" s="6" t="str">
        <f>'Detailed Car List + Stats'!E121</f>
        <v>Classic Muscle</v>
      </c>
      <c r="E121" s="8" t="s">
        <v>360</v>
      </c>
      <c r="F121" s="6" t="str">
        <f>'Detailed Car List + Stats'!G121</f>
        <v>USA</v>
      </c>
      <c r="G121" s="19">
        <f>'Detailed Car List + Stats'!H121</f>
        <v>250000</v>
      </c>
      <c r="H121" s="34" t="s">
        <v>62</v>
      </c>
      <c r="I121" s="6" t="str">
        <f>'Detailed Car List + Stats'!T121</f>
        <v>Autoshow, Wheelspin</v>
      </c>
      <c r="J121" s="2" t="str">
        <f>'Detailed Car List + Stats'!U121</f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6.5" customHeight="1">
      <c r="A122" s="6" t="str">
        <f>'Detailed Car List + Stats'!B122</f>
        <v>1995</v>
      </c>
      <c r="B122" s="6" t="str">
        <f>'Detailed Car List + Stats'!C122</f>
        <v>Chevrolet</v>
      </c>
      <c r="C122" s="6" t="str">
        <f>'Detailed Car List + Stats'!D122</f>
        <v>Corvette ZR-1</v>
      </c>
      <c r="D122" s="6" t="str">
        <f>'Detailed Car List + Stats'!E122</f>
        <v>Retro Muscle</v>
      </c>
      <c r="E122" s="25" t="s">
        <v>361</v>
      </c>
      <c r="F122" s="6" t="str">
        <f>'Detailed Car List + Stats'!G122</f>
        <v>USA</v>
      </c>
      <c r="G122" s="19">
        <f>'Detailed Car List + Stats'!H122</f>
        <v>76000</v>
      </c>
      <c r="H122" s="20" t="s">
        <v>33</v>
      </c>
      <c r="I122" s="6" t="str">
        <f>'Detailed Car List + Stats'!T122</f>
        <v>Autoshow, Wheelspin</v>
      </c>
      <c r="J122" s="2" t="str">
        <f>'Detailed Car List + Stats'!U122</f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6.5" customHeight="1">
      <c r="A123" s="6" t="str">
        <f>'Detailed Car List + Stats'!B123</f>
        <v>2009</v>
      </c>
      <c r="B123" s="6" t="str">
        <f>'Detailed Car List + Stats'!C123</f>
        <v>Chevrolet</v>
      </c>
      <c r="C123" s="6" t="str">
        <f>'Detailed Car List + Stats'!D123</f>
        <v>Corvette ZR1</v>
      </c>
      <c r="D123" s="6" t="str">
        <f>'Detailed Car List + Stats'!E123</f>
        <v>Modern Muscle</v>
      </c>
      <c r="E123" s="32" t="s">
        <v>363</v>
      </c>
      <c r="F123" s="6" t="str">
        <f>'Detailed Car List + Stats'!G123</f>
        <v>USA</v>
      </c>
      <c r="G123" s="19">
        <f>'Detailed Car List + Stats'!H123</f>
        <v>125000</v>
      </c>
      <c r="H123" s="10" t="s">
        <v>27</v>
      </c>
      <c r="I123" s="6" t="str">
        <f>'Detailed Car List + Stats'!T123</f>
        <v>Autoshow, Wheelspin</v>
      </c>
      <c r="J123" s="2" t="str">
        <f>'Detailed Car List + Stats'!U123</f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6.5" customHeight="1">
      <c r="A124" s="5" t="str">
        <f>'Detailed Car List + Stats'!B124</f>
        <v>2019</v>
      </c>
      <c r="B124" s="5" t="str">
        <f>'Detailed Car List + Stats'!C124</f>
        <v>Chevrolet</v>
      </c>
      <c r="C124" s="5" t="str">
        <f>'Detailed Car List + Stats'!D124</f>
        <v>Corvette ZR1</v>
      </c>
      <c r="D124" s="5" t="str">
        <f>'Detailed Car List + Stats'!E124</f>
        <v>Track Toys</v>
      </c>
      <c r="E124" s="32" t="s">
        <v>364</v>
      </c>
      <c r="F124" s="5" t="str">
        <f>'Detailed Car List + Stats'!G124</f>
        <v>USA</v>
      </c>
      <c r="G124" s="9" t="str">
        <f>'Detailed Car List + Stats'!H124</f>
        <v/>
      </c>
      <c r="H124" s="48"/>
      <c r="I124" s="5" t="str">
        <f>'Detailed Car List + Stats'!T124</f>
        <v>Wheelspin, Seasonal</v>
      </c>
      <c r="J124" s="21" t="str">
        <f>'Detailed Car List + Stats'!U124</f>
        <v/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6.5" customHeight="1">
      <c r="A125" s="6" t="str">
        <f>'Detailed Car List + Stats'!B125</f>
        <v>1970</v>
      </c>
      <c r="B125" s="6" t="str">
        <f>'Detailed Car List + Stats'!C125</f>
        <v>Chevrolet</v>
      </c>
      <c r="C125" s="6" t="str">
        <f>'Detailed Car List + Stats'!D125</f>
        <v>El Camino Super Sport 454</v>
      </c>
      <c r="D125" s="6" t="str">
        <f>'Detailed Car List + Stats'!E125</f>
        <v>Utility Heroes</v>
      </c>
      <c r="E125" s="8" t="s">
        <v>336</v>
      </c>
      <c r="F125" s="6" t="str">
        <f>'Detailed Car List + Stats'!G125</f>
        <v>USA</v>
      </c>
      <c r="G125" s="19">
        <f>'Detailed Car List + Stats'!H125</f>
        <v>36000</v>
      </c>
      <c r="H125" s="10" t="s">
        <v>27</v>
      </c>
      <c r="I125" s="6" t="str">
        <f>'Detailed Car List + Stats'!T125</f>
        <v>Autoshow, Wheelspin</v>
      </c>
      <c r="J125" s="2" t="str">
        <f>'Detailed Car List + Stats'!U125</f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6.5" customHeight="1">
      <c r="A126" s="6" t="str">
        <f>'Detailed Car List + Stats'!B126</f>
        <v>1996</v>
      </c>
      <c r="B126" s="6" t="str">
        <f>'Detailed Car List + Stats'!C126</f>
        <v>Chevrolet</v>
      </c>
      <c r="C126" s="6" t="str">
        <f>'Detailed Car List + Stats'!D126</f>
        <v>Impala Super Sport</v>
      </c>
      <c r="D126" s="6" t="str">
        <f>'Detailed Car List + Stats'!E126</f>
        <v>Retro Muscle</v>
      </c>
      <c r="E126" s="8" t="s">
        <v>369</v>
      </c>
      <c r="F126" s="6" t="str">
        <f>'Detailed Car List + Stats'!G126</f>
        <v>USA</v>
      </c>
      <c r="G126" s="19">
        <f>'Detailed Car List + Stats'!H126</f>
        <v>30000</v>
      </c>
      <c r="H126" s="20" t="s">
        <v>33</v>
      </c>
      <c r="I126" s="6" t="str">
        <f>'Detailed Car List + Stats'!T126</f>
        <v>Autoshow, Wheelspin</v>
      </c>
      <c r="J126" s="2" t="str">
        <f>'Detailed Car List + Stats'!U126</f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6.5" customHeight="1">
      <c r="A127" s="6" t="str">
        <f>'Detailed Car List + Stats'!B127</f>
        <v>1964</v>
      </c>
      <c r="B127" s="6" t="str">
        <f>'Detailed Car List + Stats'!C127</f>
        <v>Chevrolet</v>
      </c>
      <c r="C127" s="6" t="str">
        <f>'Detailed Car List + Stats'!D127</f>
        <v>Impala Super Sport 409</v>
      </c>
      <c r="D127" s="6" t="str">
        <f>'Detailed Car List + Stats'!E127</f>
        <v>Rods &amp; Customs</v>
      </c>
      <c r="E127" s="8" t="s">
        <v>371</v>
      </c>
      <c r="F127" s="6" t="str">
        <f>'Detailed Car List + Stats'!G127</f>
        <v>USA</v>
      </c>
      <c r="G127" s="19">
        <f>'Detailed Car List + Stats'!H127</f>
        <v>70000</v>
      </c>
      <c r="H127" s="20" t="s">
        <v>33</v>
      </c>
      <c r="I127" s="6" t="str">
        <f>'Detailed Car List + Stats'!T127</f>
        <v>Autoshow, Wheelspin</v>
      </c>
      <c r="J127" s="2" t="str">
        <f>'Detailed Car List + Stats'!U127</f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6.5" customHeight="1">
      <c r="A128" s="6" t="str">
        <f>'Detailed Car List + Stats'!B128</f>
        <v>1972</v>
      </c>
      <c r="B128" s="6" t="str">
        <f>'Detailed Car List + Stats'!C128</f>
        <v>Chevrolet</v>
      </c>
      <c r="C128" s="6" t="str">
        <f>'Detailed Car List + Stats'!D128</f>
        <v>K-10 Custom</v>
      </c>
      <c r="D128" s="6" t="str">
        <f>'Detailed Car List + Stats'!E128</f>
        <v>Pickups &amp; 4x4s</v>
      </c>
      <c r="E128" s="17" t="s">
        <v>375</v>
      </c>
      <c r="F128" s="6" t="str">
        <f>'Detailed Car List + Stats'!G128</f>
        <v>USA</v>
      </c>
      <c r="G128" s="19">
        <f>'Detailed Car List + Stats'!H128</f>
        <v>49000</v>
      </c>
      <c r="H128" s="20" t="s">
        <v>33</v>
      </c>
      <c r="I128" s="6" t="str">
        <f>'Detailed Car List + Stats'!T128</f>
        <v>Autoshow, Wheelspin</v>
      </c>
      <c r="J128" s="2" t="str">
        <f>'Detailed Car List + Stats'!U128</f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6.5" customHeight="1">
      <c r="A129" s="6" t="str">
        <f>'Detailed Car List + Stats'!B129</f>
        <v>1988</v>
      </c>
      <c r="B129" s="6" t="str">
        <f>'Detailed Car List + Stats'!C129</f>
        <v>Chevrolet</v>
      </c>
      <c r="C129" s="6" t="str">
        <f>'Detailed Car List + Stats'!D129</f>
        <v>Monte Carlo Super Sport</v>
      </c>
      <c r="D129" s="6" t="str">
        <f>'Detailed Car List + Stats'!E129</f>
        <v>Retro Muscle</v>
      </c>
      <c r="E129" s="17" t="s">
        <v>377</v>
      </c>
      <c r="F129" s="6" t="str">
        <f>'Detailed Car List + Stats'!G129</f>
        <v>USA</v>
      </c>
      <c r="G129" s="19">
        <f>'Detailed Car List + Stats'!H129</f>
        <v>30000</v>
      </c>
      <c r="H129" s="20" t="s">
        <v>33</v>
      </c>
      <c r="I129" s="6" t="str">
        <f>'Detailed Car List + Stats'!T129</f>
        <v>Autoshow, Wheelspin</v>
      </c>
      <c r="J129" s="2" t="str">
        <f>'Detailed Car List + Stats'!U129</f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6.5" customHeight="1">
      <c r="A130" s="6" t="str">
        <f>'Detailed Car List + Stats'!B130</f>
        <v>1969</v>
      </c>
      <c r="B130" s="6" t="str">
        <f>'Detailed Car List + Stats'!C130</f>
        <v>Chevrolet</v>
      </c>
      <c r="C130" s="6" t="str">
        <f>'Detailed Car List + Stats'!D130</f>
        <v>Nova Super Sport 396</v>
      </c>
      <c r="D130" s="6" t="str">
        <f>'Detailed Car List + Stats'!E130</f>
        <v>Classic Muscle</v>
      </c>
      <c r="E130" s="8" t="s">
        <v>379</v>
      </c>
      <c r="F130" s="6" t="str">
        <f>'Detailed Car List + Stats'!G130</f>
        <v>USA</v>
      </c>
      <c r="G130" s="19">
        <f>'Detailed Car List + Stats'!H130</f>
        <v>40000</v>
      </c>
      <c r="H130" s="20" t="s">
        <v>33</v>
      </c>
      <c r="I130" s="6" t="str">
        <f>'Detailed Car List + Stats'!T130</f>
        <v>Autoshow, Wheelspin</v>
      </c>
      <c r="J130" s="2" t="str">
        <f>'Detailed Car List + Stats'!U130</f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6.5" customHeight="1">
      <c r="A131" s="6" t="str">
        <f>'Detailed Car List + Stats'!B131</f>
        <v>2020</v>
      </c>
      <c r="B131" s="6" t="str">
        <f>'Detailed Car List + Stats'!C131</f>
        <v>Chevrolet</v>
      </c>
      <c r="C131" s="6" t="str">
        <f>'Detailed Car List + Stats'!D131</f>
        <v>Silverado LT Trail Boss</v>
      </c>
      <c r="D131" s="6" t="str">
        <f>'Detailed Car List + Stats'!E131</f>
        <v>Pickups &amp; 4x4s</v>
      </c>
      <c r="E131" s="8" t="s">
        <v>381</v>
      </c>
      <c r="F131" s="6" t="str">
        <f>'Detailed Car List + Stats'!G131</f>
        <v>USA</v>
      </c>
      <c r="G131" s="19">
        <f>'Detailed Car List + Stats'!H131</f>
        <v>43000</v>
      </c>
      <c r="H131" s="10" t="s">
        <v>27</v>
      </c>
      <c r="I131" s="6" t="str">
        <f>'Detailed Car List + Stats'!T131</f>
        <v>Autoshow, Wheelspin</v>
      </c>
      <c r="J131" s="2" t="str">
        <f>'Detailed Car List + Stats'!U131</f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6.5" customHeight="1">
      <c r="A132" s="37" t="str">
        <f>'Detailed Car List + Stats'!B132</f>
        <v>1972</v>
      </c>
      <c r="B132" s="37" t="str">
        <f>'Detailed Car List + Stats'!C132</f>
        <v>Datsun</v>
      </c>
      <c r="C132" s="37" t="str">
        <f>'Detailed Car List + Stats'!D132</f>
        <v>#269 Attacking the Clock Racing 240Z 'All Carbon Hill Climb Beast'</v>
      </c>
      <c r="D132" s="37" t="str">
        <f>'Detailed Car List + Stats'!E132</f>
        <v>Extreme Track Toys</v>
      </c>
      <c r="E132" s="49" t="s">
        <v>384</v>
      </c>
      <c r="F132" s="37" t="str">
        <f>'Detailed Car List + Stats'!G132</f>
        <v>Japan</v>
      </c>
      <c r="G132" s="38">
        <f>'Detailed Car List + Stats'!H132</f>
        <v>86000</v>
      </c>
      <c r="H132" s="20" t="s">
        <v>33</v>
      </c>
      <c r="I132" s="37" t="str">
        <f>'Detailed Car List + Stats'!T132</f>
        <v>Autoshow DLC</v>
      </c>
      <c r="J132" s="37" t="str">
        <f>'Detailed Car List + Stats'!U132</f>
        <v>Car Pass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6.5" customHeight="1">
      <c r="A133" s="5" t="str">
        <f>'Detailed Car List + Stats'!B133</f>
        <v>1969</v>
      </c>
      <c r="B133" s="5" t="str">
        <f>'Detailed Car List + Stats'!C133</f>
        <v>Datsun</v>
      </c>
      <c r="C133" s="5" t="str">
        <f>'Detailed Car List + Stats'!D133</f>
        <v>2000 Roadster</v>
      </c>
      <c r="D133" s="5" t="str">
        <f>'Detailed Car List + Stats'!E133</f>
        <v>Classic Sports Cars</v>
      </c>
      <c r="E133" s="17" t="s">
        <v>386</v>
      </c>
      <c r="F133" s="5" t="str">
        <f>'Detailed Car List + Stats'!G133</f>
        <v>Japan</v>
      </c>
      <c r="G133" s="9">
        <f>'Detailed Car List + Stats'!H133</f>
        <v>185000</v>
      </c>
      <c r="H133" s="34" t="s">
        <v>62</v>
      </c>
      <c r="I133" s="5" t="str">
        <f>'Detailed Car List + Stats'!T133</f>
        <v>Seasonal</v>
      </c>
      <c r="J133" s="21" t="str">
        <f>'Detailed Car List + Stats'!U133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6.5" customHeight="1">
      <c r="A134" s="6" t="str">
        <f>'Detailed Car List + Stats'!B134</f>
        <v>1970</v>
      </c>
      <c r="B134" s="6" t="str">
        <f>'Detailed Car List + Stats'!C134</f>
        <v>Datsun</v>
      </c>
      <c r="C134" s="6" t="str">
        <f>'Detailed Car List + Stats'!D134</f>
        <v>510</v>
      </c>
      <c r="D134" s="6" t="str">
        <f>'Detailed Car List + Stats'!E134</f>
        <v>Classic Sports Cars</v>
      </c>
      <c r="E134" s="17" t="s">
        <v>388</v>
      </c>
      <c r="F134" s="6" t="str">
        <f>'Detailed Car List + Stats'!G134</f>
        <v>Japan</v>
      </c>
      <c r="G134" s="52">
        <f>'Detailed Car List + Stats'!H134</f>
        <v>250000</v>
      </c>
      <c r="H134" s="20" t="s">
        <v>33</v>
      </c>
      <c r="I134" s="6" t="str">
        <f>'Detailed Car List + Stats'!T134</f>
        <v>Autoshow, Wheelspin</v>
      </c>
      <c r="J134" s="2" t="str">
        <f>'Detailed Car List + Stats'!U134</f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6.5" customHeight="1">
      <c r="A135" s="5" t="str">
        <f>'Detailed Car List + Stats'!B135</f>
        <v>1984</v>
      </c>
      <c r="B135" s="5" t="str">
        <f>'Detailed Car List + Stats'!C135</f>
        <v>De Tomaso</v>
      </c>
      <c r="C135" s="5" t="str">
        <f>'Detailed Car List + Stats'!D135</f>
        <v>Pantera GT5</v>
      </c>
      <c r="D135" s="5" t="str">
        <f>'Detailed Car List + Stats'!E135</f>
        <v>Retro Supercars</v>
      </c>
      <c r="E135" s="25" t="s">
        <v>391</v>
      </c>
      <c r="F135" s="5" t="str">
        <f>'Detailed Car List + Stats'!G135</f>
        <v>Italy</v>
      </c>
      <c r="G135" s="9">
        <f>'Detailed Car List + Stats'!H135</f>
        <v>250000</v>
      </c>
      <c r="H135" s="35" t="s">
        <v>76</v>
      </c>
      <c r="I135" s="5" t="str">
        <f>'Detailed Car List + Stats'!T135</f>
        <v>Seasonal</v>
      </c>
      <c r="J135" s="21" t="str">
        <f>'Detailed Car List + Stats'!U135</f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6.5" customHeight="1">
      <c r="A136" s="6" t="str">
        <f>'Detailed Car List + Stats'!B136</f>
        <v>2018</v>
      </c>
      <c r="B136" s="6" t="str">
        <f>'Detailed Car List + Stats'!C136</f>
        <v>DeBerti</v>
      </c>
      <c r="C136" s="6" t="str">
        <f>'Detailed Car List + Stats'!D136</f>
        <v>Chevrolet Silverado 1500 Drift Truck</v>
      </c>
      <c r="D136" s="6" t="str">
        <f>'Detailed Car List + Stats'!E136</f>
        <v>Drift Cars</v>
      </c>
      <c r="E136" s="32" t="s">
        <v>395</v>
      </c>
      <c r="F136" s="6" t="str">
        <f>'Detailed Car List + Stats'!G136</f>
        <v>USA</v>
      </c>
      <c r="G136" s="19">
        <f>'Detailed Car List + Stats'!H136</f>
        <v>250000</v>
      </c>
      <c r="H136" s="34" t="s">
        <v>62</v>
      </c>
      <c r="I136" s="6" t="str">
        <f>'Detailed Car List + Stats'!T136</f>
        <v>Autoshow, Wheelspin</v>
      </c>
      <c r="J136" s="2" t="str">
        <f>'Detailed Car List + Stats'!U136</f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6.5" customHeight="1">
      <c r="A137" s="6" t="str">
        <f>'Detailed Car List + Stats'!B137</f>
        <v>2019</v>
      </c>
      <c r="B137" s="6" t="str">
        <f>'Detailed Car List + Stats'!C137</f>
        <v>DeBerti</v>
      </c>
      <c r="C137" s="6" t="str">
        <f>'Detailed Car List + Stats'!D137</f>
        <v>Ford Super Duty F-250 Lariat 'Transformer'</v>
      </c>
      <c r="D137" s="6" t="str">
        <f>'Detailed Car List + Stats'!E137</f>
        <v>Unlimited Offroad</v>
      </c>
      <c r="E137" s="25" t="s">
        <v>397</v>
      </c>
      <c r="F137" s="6" t="str">
        <f>'Detailed Car List + Stats'!G137</f>
        <v>USA</v>
      </c>
      <c r="G137" s="19">
        <f>'Detailed Car List + Stats'!H137</f>
        <v>275000</v>
      </c>
      <c r="H137" s="34" t="s">
        <v>62</v>
      </c>
      <c r="I137" s="6" t="str">
        <f>'Detailed Car List + Stats'!T137</f>
        <v>Autoshow, Wheelspin</v>
      </c>
      <c r="J137" s="2" t="str">
        <f>'Detailed Car List + Stats'!U137</f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6.5" customHeight="1">
      <c r="A138" s="6" t="str">
        <f>'Detailed Car List + Stats'!B138</f>
        <v>2013</v>
      </c>
      <c r="B138" s="6" t="str">
        <f>'Detailed Car List + Stats'!C138</f>
        <v>DeBerti</v>
      </c>
      <c r="C138" s="6" t="str">
        <f>'Detailed Car List + Stats'!D138</f>
        <v>Jeep Wrangler Unlimited</v>
      </c>
      <c r="D138" s="6" t="str">
        <f>'Detailed Car List + Stats'!E138</f>
        <v>Unlimited Offroad</v>
      </c>
      <c r="E138" s="36" t="s">
        <v>399</v>
      </c>
      <c r="F138" s="6" t="str">
        <f>'Detailed Car List + Stats'!G138</f>
        <v>USA</v>
      </c>
      <c r="G138" s="19">
        <f>'Detailed Car List + Stats'!H138</f>
        <v>150000</v>
      </c>
      <c r="H138" s="34" t="s">
        <v>62</v>
      </c>
      <c r="I138" s="6" t="str">
        <f>'Detailed Car List + Stats'!T138</f>
        <v>Autoshow, Wheelspin</v>
      </c>
      <c r="J138" s="2" t="str">
        <f>'Detailed Car List + Stats'!U138</f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6.5" customHeight="1">
      <c r="A139" s="6" t="str">
        <f>'Detailed Car List + Stats'!B139</f>
        <v>2019</v>
      </c>
      <c r="B139" s="6" t="str">
        <f>'Detailed Car List + Stats'!C139</f>
        <v>DeBerti</v>
      </c>
      <c r="C139" s="6" t="str">
        <f>'Detailed Car List + Stats'!D139</f>
        <v>Toyota Tacoma TRD ‘The Performance Truck’</v>
      </c>
      <c r="D139" s="6" t="str">
        <f>'Detailed Car List + Stats'!E139</f>
        <v>Drift Cars</v>
      </c>
      <c r="E139" s="32" t="s">
        <v>401</v>
      </c>
      <c r="F139" s="6" t="str">
        <f>'Detailed Car List + Stats'!G139</f>
        <v>USA</v>
      </c>
      <c r="G139" s="19">
        <f>'Detailed Car List + Stats'!H139</f>
        <v>250000</v>
      </c>
      <c r="H139" s="20" t="s">
        <v>33</v>
      </c>
      <c r="I139" s="6" t="str">
        <f>'Detailed Car List + Stats'!T139</f>
        <v>Autoshow, Wheelspin</v>
      </c>
      <c r="J139" s="2" t="str">
        <f>'Detailed Car List + Stats'!U139</f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6.5" customHeight="1">
      <c r="A140" s="6" t="str">
        <f>'Detailed Car List + Stats'!B140</f>
        <v>1982</v>
      </c>
      <c r="B140" s="6" t="str">
        <f>'Detailed Car List + Stats'!C140</f>
        <v>DeLorean</v>
      </c>
      <c r="C140" s="6" t="str">
        <f>'Detailed Car List + Stats'!D140</f>
        <v>DMC-12</v>
      </c>
      <c r="D140" s="6" t="str">
        <f>'Detailed Car List + Stats'!E140</f>
        <v>Retro Sports Cars</v>
      </c>
      <c r="E140" s="17" t="s">
        <v>405</v>
      </c>
      <c r="F140" s="6" t="str">
        <f>'Detailed Car List + Stats'!G140</f>
        <v>USA</v>
      </c>
      <c r="G140" s="19">
        <f>'Detailed Car List + Stats'!H140</f>
        <v>72000</v>
      </c>
      <c r="H140" s="35" t="s">
        <v>76</v>
      </c>
      <c r="I140" s="6" t="str">
        <f>'Detailed Car List + Stats'!T140</f>
        <v>Autoshow, Wheelspin</v>
      </c>
      <c r="J140" s="2" t="str">
        <f>'Detailed Car List + Stats'!U140</f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6.5" customHeight="1">
      <c r="A141" s="5" t="str">
        <f>'Detailed Car List + Stats'!B141</f>
        <v>1970</v>
      </c>
      <c r="B141" s="5" t="str">
        <f>'Detailed Car List + Stats'!C141</f>
        <v>Dodge</v>
      </c>
      <c r="C141" s="5" t="str">
        <f>'Detailed Car List + Stats'!D141</f>
        <v>Challenger R/T</v>
      </c>
      <c r="D141" s="5" t="str">
        <f>'Detailed Car List + Stats'!E141</f>
        <v>Classic Muscle</v>
      </c>
      <c r="E141" s="8" t="s">
        <v>408</v>
      </c>
      <c r="F141" s="5" t="str">
        <f>'Detailed Car List + Stats'!G141</f>
        <v>USA</v>
      </c>
      <c r="G141" s="9" t="str">
        <f>'Detailed Car List + Stats'!H141</f>
        <v/>
      </c>
      <c r="H141" s="48"/>
      <c r="I141" s="5" t="str">
        <f>'Detailed Car List + Stats'!T141</f>
        <v>Wheelspin, Seasonal</v>
      </c>
      <c r="J141" s="21" t="str">
        <f>'Detailed Car List + Stats'!U141</f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6.5" customHeight="1">
      <c r="A142" s="6" t="str">
        <f>'Detailed Car List + Stats'!B142</f>
        <v>2018</v>
      </c>
      <c r="B142" s="6" t="str">
        <f>'Detailed Car List + Stats'!C142</f>
        <v>Dodge</v>
      </c>
      <c r="C142" s="6" t="str">
        <f>'Detailed Car List + Stats'!D142</f>
        <v>Challenger SRT Demon</v>
      </c>
      <c r="D142" s="6" t="str">
        <f>'Detailed Car List + Stats'!E142</f>
        <v>Modern Muscle</v>
      </c>
      <c r="E142" s="36" t="s">
        <v>273</v>
      </c>
      <c r="F142" s="6" t="str">
        <f>'Detailed Car List + Stats'!G142</f>
        <v>USA</v>
      </c>
      <c r="G142" s="19">
        <f>'Detailed Car List + Stats'!H142</f>
        <v>90000</v>
      </c>
      <c r="H142" s="10" t="s">
        <v>27</v>
      </c>
      <c r="I142" s="6" t="str">
        <f>'Detailed Car List + Stats'!T142</f>
        <v>Autoshow, Collection Journal, Wheelspin</v>
      </c>
      <c r="J142" s="2" t="str">
        <f>'Detailed Car List + Stats'!U142</f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6.5" customHeight="1">
      <c r="A143" s="6" t="str">
        <f>'Detailed Car List + Stats'!B143</f>
        <v>2015</v>
      </c>
      <c r="B143" s="6" t="str">
        <f>'Detailed Car List + Stats'!C143</f>
        <v>Dodge</v>
      </c>
      <c r="C143" s="6" t="str">
        <f>'Detailed Car List + Stats'!D143</f>
        <v>Challenger SRT Hellcat</v>
      </c>
      <c r="D143" s="6" t="str">
        <f>'Detailed Car List + Stats'!E143</f>
        <v>Modern Muscle</v>
      </c>
      <c r="E143" s="36" t="s">
        <v>411</v>
      </c>
      <c r="F143" s="6" t="str">
        <f>'Detailed Car List + Stats'!G143</f>
        <v>USA</v>
      </c>
      <c r="G143" s="19">
        <f>'Detailed Car List + Stats'!H143</f>
        <v>53000</v>
      </c>
      <c r="H143" s="10" t="s">
        <v>27</v>
      </c>
      <c r="I143" s="6" t="str">
        <f>'Detailed Car List + Stats'!T143</f>
        <v>Autoshow, Wheelspin</v>
      </c>
      <c r="J143" s="2" t="str">
        <f>'Detailed Car List + Stats'!U143</f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6.5" customHeight="1">
      <c r="A144" s="6" t="str">
        <f>'Detailed Car List + Stats'!B144</f>
        <v>2022</v>
      </c>
      <c r="B144" s="6" t="str">
        <f>'Detailed Car List + Stats'!C144</f>
        <v>Dodge</v>
      </c>
      <c r="C144" s="6" t="str">
        <f>'Detailed Car List + Stats'!D144</f>
        <v>Challenger SRT Super Stock</v>
      </c>
      <c r="D144" s="6" t="str">
        <f>'Detailed Car List + Stats'!E144</f>
        <v>Modern Muscle</v>
      </c>
      <c r="E144" s="36" t="s">
        <v>333</v>
      </c>
      <c r="F144" s="6" t="str">
        <f>'Detailed Car List + Stats'!G144</f>
        <v>USA</v>
      </c>
      <c r="G144" s="19">
        <f>'Detailed Car List + Stats'!H144</f>
        <v>87000</v>
      </c>
      <c r="H144" s="10" t="s">
        <v>27</v>
      </c>
      <c r="I144" s="6" t="str">
        <f>'Detailed Car List + Stats'!T144</f>
        <v>Autoshow, Wheelspin</v>
      </c>
      <c r="J144" s="2" t="str">
        <f>'Detailed Car List + Stats'!U144</f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6.5" customHeight="1">
      <c r="A145" s="6" t="str">
        <f>'Detailed Car List + Stats'!B145</f>
        <v>1969</v>
      </c>
      <c r="B145" s="6" t="str">
        <f>'Detailed Car List + Stats'!C145</f>
        <v>Dodge</v>
      </c>
      <c r="C145" s="6" t="str">
        <f>'Detailed Car List + Stats'!D145</f>
        <v>Charger Daytona HEMI</v>
      </c>
      <c r="D145" s="6" t="str">
        <f>'Detailed Car List + Stats'!E145</f>
        <v>Classic Muscle</v>
      </c>
      <c r="E145" s="8" t="s">
        <v>414</v>
      </c>
      <c r="F145" s="6" t="str">
        <f>'Detailed Car List + Stats'!G145</f>
        <v>USA</v>
      </c>
      <c r="G145" s="19">
        <f>'Detailed Car List + Stats'!H145</f>
        <v>541000</v>
      </c>
      <c r="H145" s="34" t="s">
        <v>62</v>
      </c>
      <c r="I145" s="6" t="str">
        <f>'Detailed Car List + Stats'!T145</f>
        <v>Autoshow, Collection Journal, Wheelspin</v>
      </c>
      <c r="J145" s="2" t="str">
        <f>'Detailed Car List + Stats'!U145</f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6.5" customHeight="1">
      <c r="A146" s="5" t="str">
        <f>'Detailed Car List + Stats'!B146</f>
        <v>1969</v>
      </c>
      <c r="B146" s="5" t="str">
        <f>'Detailed Car List + Stats'!C146</f>
        <v>Dodge</v>
      </c>
      <c r="C146" s="5" t="str">
        <f>'Detailed Car List + Stats'!D146</f>
        <v>Charger R/T</v>
      </c>
      <c r="D146" s="5" t="str">
        <f>'Detailed Car List + Stats'!E146</f>
        <v>Classic Muscle</v>
      </c>
      <c r="E146" s="8" t="s">
        <v>416</v>
      </c>
      <c r="F146" s="5" t="str">
        <f>'Detailed Car List + Stats'!G146</f>
        <v>USA</v>
      </c>
      <c r="G146" s="9">
        <f>'Detailed Car List + Stats'!H146</f>
        <v>224000</v>
      </c>
      <c r="H146" s="35" t="s">
        <v>255</v>
      </c>
      <c r="I146" s="5" t="str">
        <f>'Detailed Car List + Stats'!T146</f>
        <v>Collection Journal</v>
      </c>
      <c r="J146" s="21" t="str">
        <f>'Detailed Car List + Stats'!U146</f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6.5" customHeight="1">
      <c r="A147" s="6" t="str">
        <f>'Detailed Car List + Stats'!B147</f>
        <v>2015</v>
      </c>
      <c r="B147" s="6" t="str">
        <f>'Detailed Car List + Stats'!C147</f>
        <v>Dodge</v>
      </c>
      <c r="C147" s="6" t="str">
        <f>'Detailed Car List + Stats'!D147</f>
        <v>Charger SRT Hellcat</v>
      </c>
      <c r="D147" s="6" t="str">
        <f>'Detailed Car List + Stats'!E147</f>
        <v>Modern Muscle</v>
      </c>
      <c r="E147" s="36" t="s">
        <v>197</v>
      </c>
      <c r="F147" s="6" t="str">
        <f>'Detailed Car List + Stats'!G147</f>
        <v>USA</v>
      </c>
      <c r="G147" s="19">
        <f>'Detailed Car List + Stats'!H147</f>
        <v>44000</v>
      </c>
      <c r="H147" s="10" t="s">
        <v>27</v>
      </c>
      <c r="I147" s="6" t="str">
        <f>'Detailed Car List + Stats'!T147</f>
        <v>Autoshow, Wheelspin</v>
      </c>
      <c r="J147" s="2" t="str">
        <f>'Detailed Car List + Stats'!U147</f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6.5" customHeight="1">
      <c r="A148" s="6" t="str">
        <f>'Detailed Car List + Stats'!B148</f>
        <v>1970</v>
      </c>
      <c r="B148" s="6" t="str">
        <f>'Detailed Car List + Stats'!C148</f>
        <v>Dodge</v>
      </c>
      <c r="C148" s="6" t="str">
        <f>'Detailed Car List + Stats'!D148</f>
        <v>Coronet Super Bee</v>
      </c>
      <c r="D148" s="6" t="str">
        <f>'Detailed Car List + Stats'!E148</f>
        <v>Classic Muscle</v>
      </c>
      <c r="E148" s="8" t="s">
        <v>419</v>
      </c>
      <c r="F148" s="6" t="str">
        <f>'Detailed Car List + Stats'!G148</f>
        <v>USA</v>
      </c>
      <c r="G148" s="19">
        <f>'Detailed Car List + Stats'!H148</f>
        <v>175000</v>
      </c>
      <c r="H148" s="10" t="s">
        <v>27</v>
      </c>
      <c r="I148" s="6" t="str">
        <f>'Detailed Car List + Stats'!T148</f>
        <v>Autoshow, Wheelspin</v>
      </c>
      <c r="J148" s="2" t="str">
        <f>'Detailed Car List + Stats'!U148</f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6.5" customHeight="1">
      <c r="A149" s="5" t="str">
        <f>'Detailed Car List + Stats'!B149</f>
        <v>1968</v>
      </c>
      <c r="B149" s="5" t="str">
        <f>'Detailed Car List + Stats'!C149</f>
        <v>Dodge</v>
      </c>
      <c r="C149" s="5" t="str">
        <f>'Detailed Car List + Stats'!D149</f>
        <v>Dart HEMI Super Stock</v>
      </c>
      <c r="D149" s="5" t="str">
        <f>'Detailed Car List + Stats'!E149</f>
        <v>Classic Muscle</v>
      </c>
      <c r="E149" s="25" t="s">
        <v>39</v>
      </c>
      <c r="F149" s="5" t="str">
        <f>'Detailed Car List + Stats'!G149</f>
        <v>USA</v>
      </c>
      <c r="G149" s="9">
        <f>'Detailed Car List + Stats'!H149</f>
        <v>300000</v>
      </c>
      <c r="H149" s="35" t="s">
        <v>76</v>
      </c>
      <c r="I149" s="5" t="str">
        <f>'Detailed Car List + Stats'!T149</f>
        <v>Wheelspin, Seasonal</v>
      </c>
      <c r="J149" s="21" t="str">
        <f>'Detailed Car List + Stats'!U149</f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6.5" customHeight="1">
      <c r="A150" s="5" t="str">
        <f>'Detailed Car List + Stats'!B150</f>
        <v>2021</v>
      </c>
      <c r="B150" s="5" t="str">
        <f>'Detailed Car List + Stats'!C150</f>
        <v>Dodge</v>
      </c>
      <c r="C150" s="5" t="str">
        <f>'Detailed Car List + Stats'!D150</f>
        <v>Durango SRT Hellcat</v>
      </c>
      <c r="D150" s="5" t="str">
        <f>'Detailed Car List + Stats'!E150</f>
        <v>Sports Utility Heroes</v>
      </c>
      <c r="E150" s="36" t="s">
        <v>422</v>
      </c>
      <c r="F150" s="5" t="str">
        <f>'Detailed Car List + Stats'!G150</f>
        <v>USA</v>
      </c>
      <c r="G150" s="9" t="str">
        <f>'Detailed Car List + Stats'!H150</f>
        <v/>
      </c>
      <c r="H150" s="48"/>
      <c r="I150" s="5" t="str">
        <f>'Detailed Car List + Stats'!T150</f>
        <v>Collection Journal, Seasonal</v>
      </c>
      <c r="J150" s="21" t="str">
        <f>'Detailed Car List + Stats'!U150</f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6.5" customHeight="1">
      <c r="A151" s="5" t="str">
        <f>'Detailed Car List + Stats'!B151</f>
        <v>2006</v>
      </c>
      <c r="B151" s="5" t="str">
        <f>'Detailed Car List + Stats'!C151</f>
        <v>Dodge</v>
      </c>
      <c r="C151" s="5" t="str">
        <f>'Detailed Car List + Stats'!D151</f>
        <v>Ram SRT-10</v>
      </c>
      <c r="D151" s="5" t="str">
        <f>'Detailed Car List + Stats'!E151</f>
        <v>Modern Muscle</v>
      </c>
      <c r="E151" s="25" t="s">
        <v>424</v>
      </c>
      <c r="F151" s="5" t="str">
        <f>'Detailed Car List + Stats'!G151</f>
        <v>USA</v>
      </c>
      <c r="G151" s="9">
        <f>'Detailed Car List + Stats'!H151</f>
        <v>250000</v>
      </c>
      <c r="H151" s="20" t="s">
        <v>33</v>
      </c>
      <c r="I151" s="5" t="str">
        <f>'Detailed Car List + Stats'!T151</f>
        <v>Seasonal</v>
      </c>
      <c r="J151" s="21" t="str">
        <f>'Detailed Car List + Stats'!U151</f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6.5" customHeight="1">
      <c r="A152" s="5" t="str">
        <f>'Detailed Car List + Stats'!B152</f>
        <v>2016</v>
      </c>
      <c r="B152" s="5" t="str">
        <f>'Detailed Car List + Stats'!C152</f>
        <v>Dodge</v>
      </c>
      <c r="C152" s="5" t="str">
        <f>'Detailed Car List + Stats'!D152</f>
        <v>Viper ACR</v>
      </c>
      <c r="D152" s="5" t="str">
        <f>'Detailed Car List + Stats'!E152</f>
        <v>Track Toys</v>
      </c>
      <c r="E152" s="32" t="s">
        <v>426</v>
      </c>
      <c r="F152" s="5" t="str">
        <f>'Detailed Car List + Stats'!G152</f>
        <v>USA</v>
      </c>
      <c r="G152" s="9">
        <f>'Detailed Car List + Stats'!H152</f>
        <v>290000</v>
      </c>
      <c r="H152" s="34" t="s">
        <v>62</v>
      </c>
      <c r="I152" s="5" t="str">
        <f>'Detailed Car List + Stats'!T152</f>
        <v>Wheelspin, Seasonal</v>
      </c>
      <c r="J152" s="21" t="str">
        <f>'Detailed Car List + Stats'!U152</f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6.5" customHeight="1">
      <c r="A153" s="6" t="str">
        <f>'Detailed Car List + Stats'!B153</f>
        <v>1999</v>
      </c>
      <c r="B153" s="6" t="str">
        <f>'Detailed Car List + Stats'!C153</f>
        <v>Dodge</v>
      </c>
      <c r="C153" s="6" t="str">
        <f>'Detailed Car List + Stats'!D153</f>
        <v>Viper GTS ACR</v>
      </c>
      <c r="D153" s="6" t="str">
        <f>'Detailed Car List + Stats'!E153</f>
        <v>Retro Muscle</v>
      </c>
      <c r="E153" s="25" t="s">
        <v>202</v>
      </c>
      <c r="F153" s="6" t="str">
        <f>'Detailed Car List + Stats'!G153</f>
        <v>USA</v>
      </c>
      <c r="G153" s="19">
        <f>'Detailed Car List + Stats'!H153</f>
        <v>68000</v>
      </c>
      <c r="H153" s="35" t="s">
        <v>76</v>
      </c>
      <c r="I153" s="6" t="str">
        <f>'Detailed Car List + Stats'!T153</f>
        <v>Autoshow</v>
      </c>
      <c r="J153" s="2" t="str">
        <f>'Detailed Car List + Stats'!U153</f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6.5" customHeight="1">
      <c r="A154" s="37" t="str">
        <f>'Detailed Car List + Stats'!B154</f>
        <v>1999</v>
      </c>
      <c r="B154" s="37" t="str">
        <f>'Detailed Car List + Stats'!C154</f>
        <v>Dodge</v>
      </c>
      <c r="C154" s="37" t="str">
        <f>'Detailed Car List + Stats'!D154</f>
        <v>Viper GTS ACR Forza Edition</v>
      </c>
      <c r="D154" s="37" t="str">
        <f>'Detailed Car List + Stats'!E154</f>
        <v>Unlimited Offroad</v>
      </c>
      <c r="E154" s="36" t="s">
        <v>262</v>
      </c>
      <c r="F154" s="37" t="str">
        <f>'Detailed Car List + Stats'!G154</f>
        <v>USA</v>
      </c>
      <c r="G154" s="38">
        <f>'Detailed Car List + Stats'!H154</f>
        <v>500000</v>
      </c>
      <c r="H154" s="53" t="s">
        <v>430</v>
      </c>
      <c r="I154" s="37" t="str">
        <f>'Detailed Car List + Stats'!T154</f>
        <v>Autoshow DLC</v>
      </c>
      <c r="J154" s="37" t="str">
        <f>'Detailed Car List + Stats'!U154</f>
        <v>VIP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6.5" customHeight="1">
      <c r="A155" s="6" t="str">
        <f>'Detailed Car List + Stats'!B155</f>
        <v>2008</v>
      </c>
      <c r="B155" s="6" t="str">
        <f>'Detailed Car List + Stats'!C155</f>
        <v>Dodge</v>
      </c>
      <c r="C155" s="6" t="str">
        <f>'Detailed Car List + Stats'!D155</f>
        <v>Viper SRT-10 ACR</v>
      </c>
      <c r="D155" s="6" t="str">
        <f>'Detailed Car List + Stats'!E155</f>
        <v>Track Toys</v>
      </c>
      <c r="E155" s="32" t="s">
        <v>433</v>
      </c>
      <c r="F155" s="6" t="str">
        <f>'Detailed Car List + Stats'!G155</f>
        <v>USA</v>
      </c>
      <c r="G155" s="19">
        <f>'Detailed Car List + Stats'!H155</f>
        <v>115000</v>
      </c>
      <c r="H155" s="10" t="s">
        <v>27</v>
      </c>
      <c r="I155" s="6" t="str">
        <f>'Detailed Car List + Stats'!T155</f>
        <v>Autoshow, Wheelspin</v>
      </c>
      <c r="J155" s="2" t="str">
        <f>'Detailed Car List + Stats'!U155</f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6.5" customHeight="1">
      <c r="A156" s="5" t="str">
        <f>'Detailed Car List + Stats'!B156</f>
        <v>2018</v>
      </c>
      <c r="B156" s="5" t="str">
        <f>'Detailed Car List + Stats'!C156</f>
        <v>Exomotive</v>
      </c>
      <c r="C156" s="5" t="str">
        <f>'Detailed Car List + Stats'!D156</f>
        <v>Exocet Sport V8 XP-5</v>
      </c>
      <c r="D156" s="5" t="str">
        <f>'Detailed Car List + Stats'!E156</f>
        <v>Track Toys</v>
      </c>
      <c r="E156" s="50" t="s">
        <v>436</v>
      </c>
      <c r="F156" s="5" t="str">
        <f>'Detailed Car List + Stats'!G156</f>
        <v>USA</v>
      </c>
      <c r="G156" s="9" t="str">
        <f>'Detailed Car List + Stats'!H156</f>
        <v/>
      </c>
      <c r="H156" s="19"/>
      <c r="I156" s="5" t="str">
        <f>'Detailed Car List + Stats'!T156</f>
        <v>Seasonal</v>
      </c>
      <c r="J156" s="21" t="str">
        <f>'Detailed Car List + Stats'!U156</f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6.5" customHeight="1">
      <c r="A157" s="6" t="str">
        <f>'Detailed Car List + Stats'!B157</f>
        <v>1967</v>
      </c>
      <c r="B157" s="6" t="str">
        <f>'Detailed Car List + Stats'!C157</f>
        <v>Ferrari</v>
      </c>
      <c r="C157" s="6" t="str">
        <f>'Detailed Car List + Stats'!D157</f>
        <v>#24 Ferrari Spa 330 P4</v>
      </c>
      <c r="D157" s="6" t="str">
        <f>'Detailed Car List + Stats'!E157</f>
        <v>Classic Racers</v>
      </c>
      <c r="E157" s="36" t="s">
        <v>289</v>
      </c>
      <c r="F157" s="6" t="str">
        <f>'Detailed Car List + Stats'!G157</f>
        <v>Italy</v>
      </c>
      <c r="G157" s="19">
        <f>'Detailed Car List + Stats'!H157</f>
        <v>70000000</v>
      </c>
      <c r="H157" s="35" t="s">
        <v>76</v>
      </c>
      <c r="I157" s="6" t="str">
        <f>'Detailed Car List + Stats'!T157</f>
        <v>Autoshow, Wheelspin</v>
      </c>
      <c r="J157" s="2" t="str">
        <f>'Detailed Car List + Stats'!U157</f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6.5" customHeight="1">
      <c r="A158" s="6" t="str">
        <f>'Detailed Car List + Stats'!B158</f>
        <v>1962</v>
      </c>
      <c r="B158" s="6" t="str">
        <f>'Detailed Car List + Stats'!C158</f>
        <v>Ferrari</v>
      </c>
      <c r="C158" s="6" t="str">
        <f>'Detailed Car List + Stats'!D158</f>
        <v>250 GT Berlinetta Lusso</v>
      </c>
      <c r="D158" s="6" t="str">
        <f>'Detailed Car List + Stats'!E158</f>
        <v>Rare Classics</v>
      </c>
      <c r="E158" s="8" t="s">
        <v>441</v>
      </c>
      <c r="F158" s="6" t="str">
        <f>'Detailed Car List + Stats'!G158</f>
        <v>Italy</v>
      </c>
      <c r="G158" s="19">
        <f>'Detailed Car List + Stats'!H158</f>
        <v>1400000</v>
      </c>
      <c r="H158" s="35" t="s">
        <v>76</v>
      </c>
      <c r="I158" s="6" t="str">
        <f>'Detailed Car List + Stats'!T158</f>
        <v>Autoshow, Collection Journal</v>
      </c>
      <c r="J158" s="2" t="str">
        <f>'Detailed Car List + Stats'!U158</f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6.5" customHeight="1">
      <c r="A159" s="6" t="str">
        <f>'Detailed Car List + Stats'!B159</f>
        <v>1962</v>
      </c>
      <c r="B159" s="6" t="str">
        <f>'Detailed Car List + Stats'!C159</f>
        <v>Ferrari</v>
      </c>
      <c r="C159" s="6" t="str">
        <f>'Detailed Car List + Stats'!D159</f>
        <v>250 GTO</v>
      </c>
      <c r="D159" s="6" t="str">
        <f>'Detailed Car List + Stats'!E159</f>
        <v>Classic Racers</v>
      </c>
      <c r="E159" s="8" t="s">
        <v>443</v>
      </c>
      <c r="F159" s="6" t="str">
        <f>'Detailed Car List + Stats'!G159</f>
        <v>Italy</v>
      </c>
      <c r="G159" s="19">
        <f>'Detailed Car List + Stats'!H159</f>
        <v>48000000</v>
      </c>
      <c r="H159" s="35" t="s">
        <v>76</v>
      </c>
      <c r="I159" s="6" t="str">
        <f>'Detailed Car List + Stats'!T159</f>
        <v>Autoshow, Wheelspin</v>
      </c>
      <c r="J159" s="2" t="str">
        <f>'Detailed Car List + Stats'!U159</f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6.5" customHeight="1">
      <c r="A160" s="37" t="str">
        <f>'Detailed Car List + Stats'!B160</f>
        <v>1967</v>
      </c>
      <c r="B160" s="37" t="str">
        <f>'Detailed Car List + Stats'!C160</f>
        <v>Ferrari</v>
      </c>
      <c r="C160" s="37" t="str">
        <f>'Detailed Car List + Stats'!D160</f>
        <v>275 GTB4 Spider</v>
      </c>
      <c r="D160" s="37" t="str">
        <f>'Detailed Car List + Stats'!E160</f>
        <v>Rare Classics</v>
      </c>
      <c r="E160" s="25" t="s">
        <v>296</v>
      </c>
      <c r="F160" s="37" t="str">
        <f>'Detailed Car List + Stats'!G160</f>
        <v>Italy</v>
      </c>
      <c r="G160" s="38">
        <f>'Detailed Car List + Stats'!H160</f>
        <v>1000000</v>
      </c>
      <c r="H160" s="34" t="s">
        <v>62</v>
      </c>
      <c r="I160" s="37" t="str">
        <f>'Detailed Car List + Stats'!T160</f>
        <v>Autoshow DLC</v>
      </c>
      <c r="J160" s="37" t="str">
        <f>'Detailed Car List + Stats'!U160</f>
        <v>Italian Passion Car Pack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6.5" customHeight="1">
      <c r="A161" s="5" t="str">
        <f>'Detailed Car List + Stats'!B161</f>
        <v>1984</v>
      </c>
      <c r="B161" s="5" t="str">
        <f>'Detailed Car List + Stats'!C161</f>
        <v>Ferrari</v>
      </c>
      <c r="C161" s="5" t="str">
        <f>'Detailed Car List + Stats'!D161</f>
        <v>288 GTO</v>
      </c>
      <c r="D161" s="5" t="str">
        <f>'Detailed Car List + Stats'!E161</f>
        <v>Retro Supercars</v>
      </c>
      <c r="E161" s="36" t="s">
        <v>446</v>
      </c>
      <c r="F161" s="5" t="str">
        <f>'Detailed Car List + Stats'!G161</f>
        <v>Italy</v>
      </c>
      <c r="G161" s="9" t="str">
        <f>'Detailed Car List + Stats'!H161</f>
        <v/>
      </c>
      <c r="H161" s="48"/>
      <c r="I161" s="5" t="str">
        <f>'Detailed Car List + Stats'!T161</f>
        <v>Wheelspin, Seasonal</v>
      </c>
      <c r="J161" s="21" t="str">
        <f>'Detailed Car List + Stats'!U161</f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6.5" customHeight="1">
      <c r="A162" s="5" t="str">
        <f>'Detailed Car List + Stats'!B162</f>
        <v>2022</v>
      </c>
      <c r="B162" s="5" t="str">
        <f>'Detailed Car List + Stats'!C162</f>
        <v>Ferrari</v>
      </c>
      <c r="C162" s="5" t="str">
        <f>'Detailed Car List + Stats'!D162</f>
        <v>296 GTB</v>
      </c>
      <c r="D162" s="5" t="str">
        <f>'Detailed Car List + Stats'!E162</f>
        <v>Modern Supercars</v>
      </c>
      <c r="E162" s="50" t="s">
        <v>448</v>
      </c>
      <c r="F162" s="5" t="str">
        <f>'Detailed Car List + Stats'!G162</f>
        <v>Italy</v>
      </c>
      <c r="G162" s="9">
        <f>'Detailed Car List + Stats'!H162</f>
        <v>380000</v>
      </c>
      <c r="H162" s="34" t="s">
        <v>62</v>
      </c>
      <c r="I162" s="5" t="str">
        <f>'Detailed Car List + Stats'!T162</f>
        <v>Seasonal</v>
      </c>
      <c r="J162" s="21" t="str">
        <f>'Detailed Car List + Stats'!U162</f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6.5" customHeight="1">
      <c r="A163" s="6" t="str">
        <f>'Detailed Car List + Stats'!B163</f>
        <v>2007</v>
      </c>
      <c r="B163" s="6" t="str">
        <f>'Detailed Car List + Stats'!C163</f>
        <v>Ferrari</v>
      </c>
      <c r="C163" s="6" t="str">
        <f>'Detailed Car List + Stats'!D163</f>
        <v>430 Scuderia</v>
      </c>
      <c r="D163" s="6" t="str">
        <f>'Detailed Car List + Stats'!E163</f>
        <v>Modern Supercars</v>
      </c>
      <c r="E163" s="32" t="s">
        <v>450</v>
      </c>
      <c r="F163" s="6" t="str">
        <f>'Detailed Car List + Stats'!G163</f>
        <v>Italy</v>
      </c>
      <c r="G163" s="19">
        <f>'Detailed Car List + Stats'!H163</f>
        <v>355000</v>
      </c>
      <c r="H163" s="34" t="s">
        <v>62</v>
      </c>
      <c r="I163" s="6" t="str">
        <f>'Detailed Car List + Stats'!T163</f>
        <v>Autoshow, Wheelspin</v>
      </c>
      <c r="J163" s="2" t="str">
        <f>'Detailed Car List + Stats'!U163</f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6.5" customHeight="1">
      <c r="A164" s="6" t="str">
        <f>'Detailed Car List + Stats'!B164</f>
        <v>2009</v>
      </c>
      <c r="B164" s="6" t="str">
        <f>'Detailed Car List + Stats'!C164</f>
        <v>Ferrari</v>
      </c>
      <c r="C164" s="6" t="str">
        <f>'Detailed Car List + Stats'!D164</f>
        <v>458 Italia</v>
      </c>
      <c r="D164" s="6" t="str">
        <f>'Detailed Car List + Stats'!E164</f>
        <v>Modern Supercars</v>
      </c>
      <c r="E164" s="32" t="s">
        <v>452</v>
      </c>
      <c r="F164" s="6" t="str">
        <f>'Detailed Car List + Stats'!G164</f>
        <v>Italy</v>
      </c>
      <c r="G164" s="19">
        <f>'Detailed Car List + Stats'!H164</f>
        <v>210000</v>
      </c>
      <c r="H164" s="34" t="s">
        <v>62</v>
      </c>
      <c r="I164" s="6" t="str">
        <f>'Detailed Car List + Stats'!T164</f>
        <v>Autoshow, Wheelspin</v>
      </c>
      <c r="J164" s="2" t="str">
        <f>'Detailed Car List + Stats'!U164</f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6.5" customHeight="1">
      <c r="A165" s="6" t="str">
        <f>'Detailed Car List + Stats'!B165</f>
        <v>2013</v>
      </c>
      <c r="B165" s="6" t="str">
        <f>'Detailed Car List + Stats'!C165</f>
        <v>Ferrari</v>
      </c>
      <c r="C165" s="6" t="str">
        <f>'Detailed Car List + Stats'!D165</f>
        <v>458 Speciale</v>
      </c>
      <c r="D165" s="6" t="str">
        <f>'Detailed Car List + Stats'!E165</f>
        <v>Track Toys</v>
      </c>
      <c r="E165" s="32" t="s">
        <v>454</v>
      </c>
      <c r="F165" s="6" t="str">
        <f>'Detailed Car List + Stats'!G165</f>
        <v>Italy</v>
      </c>
      <c r="G165" s="19">
        <f>'Detailed Car List + Stats'!H165</f>
        <v>500000</v>
      </c>
      <c r="H165" s="34" t="s">
        <v>62</v>
      </c>
      <c r="I165" s="6" t="str">
        <f>'Detailed Car List + Stats'!T165</f>
        <v>Autoshow, Wheelspin</v>
      </c>
      <c r="J165" s="2" t="str">
        <f>'Detailed Car List + Stats'!U165</f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6.5" customHeight="1">
      <c r="A166" s="6" t="str">
        <f>'Detailed Car List + Stats'!B166</f>
        <v>2015</v>
      </c>
      <c r="B166" s="6" t="str">
        <f>'Detailed Car List + Stats'!C166</f>
        <v>Ferrari</v>
      </c>
      <c r="C166" s="6" t="str">
        <f>'Detailed Car List + Stats'!D166</f>
        <v>488 GTB</v>
      </c>
      <c r="D166" s="6" t="str">
        <f>'Detailed Car List + Stats'!E166</f>
        <v>Modern Supercars</v>
      </c>
      <c r="E166" s="32" t="s">
        <v>456</v>
      </c>
      <c r="F166" s="6" t="str">
        <f>'Detailed Car List + Stats'!G166</f>
        <v>Italy</v>
      </c>
      <c r="G166" s="19">
        <f>'Detailed Car List + Stats'!H166</f>
        <v>250000</v>
      </c>
      <c r="H166" s="34" t="s">
        <v>62</v>
      </c>
      <c r="I166" s="6" t="str">
        <f>'Detailed Car List + Stats'!T166</f>
        <v>Autoshow, Wheelspin</v>
      </c>
      <c r="J166" s="2" t="str">
        <f>'Detailed Car List + Stats'!U166</f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6.5" customHeight="1">
      <c r="A167" s="6" t="str">
        <f>'Detailed Car List + Stats'!B167</f>
        <v>2019</v>
      </c>
      <c r="B167" s="6" t="str">
        <f>'Detailed Car List + Stats'!C167</f>
        <v>Ferrari</v>
      </c>
      <c r="C167" s="6" t="str">
        <f>'Detailed Car List + Stats'!D167</f>
        <v>488 Pista</v>
      </c>
      <c r="D167" s="6" t="str">
        <f>'Detailed Car List + Stats'!E167</f>
        <v>Track Toys</v>
      </c>
      <c r="E167" s="50" t="s">
        <v>458</v>
      </c>
      <c r="F167" s="6" t="str">
        <f>'Detailed Car List + Stats'!G167</f>
        <v>Italy</v>
      </c>
      <c r="G167" s="19">
        <f>'Detailed Car List + Stats'!H167</f>
        <v>716000</v>
      </c>
      <c r="H167" s="34" t="s">
        <v>62</v>
      </c>
      <c r="I167" s="6" t="str">
        <f>'Detailed Car List + Stats'!T167</f>
        <v>Autoshow, Wheelspin</v>
      </c>
      <c r="J167" s="2" t="str">
        <f>'Detailed Car List + Stats'!U167</f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6.5" customHeight="1">
      <c r="A168" s="6" t="str">
        <f>'Detailed Car List + Stats'!B168</f>
        <v>1970</v>
      </c>
      <c r="B168" s="6" t="str">
        <f>'Detailed Car List + Stats'!C168</f>
        <v>Ferrari</v>
      </c>
      <c r="C168" s="6" t="str">
        <f>'Detailed Car List + Stats'!D168</f>
        <v>512 S</v>
      </c>
      <c r="D168" s="6" t="str">
        <f>'Detailed Car List + Stats'!E168</f>
        <v>Classic Racers</v>
      </c>
      <c r="E168" s="32" t="s">
        <v>460</v>
      </c>
      <c r="F168" s="6" t="str">
        <f>'Detailed Car List + Stats'!G168</f>
        <v>Italy</v>
      </c>
      <c r="G168" s="19">
        <f>'Detailed Car List + Stats'!H168</f>
        <v>3600000</v>
      </c>
      <c r="H168" s="35" t="s">
        <v>76</v>
      </c>
      <c r="I168" s="6" t="str">
        <f>'Detailed Car List + Stats'!T168</f>
        <v>Autoshow, Wheelspin</v>
      </c>
      <c r="J168" s="2" t="str">
        <f>'Detailed Car List + Stats'!U168</f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6.5" customHeight="1">
      <c r="A169" s="5" t="str">
        <f>'Detailed Car List + Stats'!B169</f>
        <v>1992</v>
      </c>
      <c r="B169" s="5" t="str">
        <f>'Detailed Car List + Stats'!C169</f>
        <v>Ferrari</v>
      </c>
      <c r="C169" s="5" t="str">
        <f>'Detailed Car List + Stats'!D169</f>
        <v>512 TR</v>
      </c>
      <c r="D169" s="5" t="str">
        <f>'Detailed Car List + Stats'!E169</f>
        <v>Retro Supercars</v>
      </c>
      <c r="E169" s="36" t="s">
        <v>462</v>
      </c>
      <c r="F169" s="5" t="str">
        <f>'Detailed Car List + Stats'!G169</f>
        <v>Italy</v>
      </c>
      <c r="G169" s="9" t="str">
        <f>'Detailed Car List + Stats'!H169</f>
        <v/>
      </c>
      <c r="H169" s="48"/>
      <c r="I169" s="5" t="str">
        <f>'Detailed Car List + Stats'!T169</f>
        <v>Wheelspin, Seasonal</v>
      </c>
      <c r="J169" s="21" t="str">
        <f>'Detailed Car List + Stats'!U169</f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6.5" customHeight="1">
      <c r="A170" s="6" t="str">
        <f>'Detailed Car List + Stats'!B170</f>
        <v>2010</v>
      </c>
      <c r="B170" s="6" t="str">
        <f>'Detailed Car List + Stats'!C170</f>
        <v>Ferrari</v>
      </c>
      <c r="C170" s="6" t="str">
        <f>'Detailed Car List + Stats'!D170</f>
        <v>599XX</v>
      </c>
      <c r="D170" s="6" t="str">
        <f>'Detailed Car List + Stats'!E170</f>
        <v>Extreme Track Toys</v>
      </c>
      <c r="E170" s="50" t="s">
        <v>464</v>
      </c>
      <c r="F170" s="6" t="str">
        <f>'Detailed Car List + Stats'!G170</f>
        <v>Italy</v>
      </c>
      <c r="G170" s="19">
        <f>'Detailed Car List + Stats'!H170</f>
        <v>2000000</v>
      </c>
      <c r="H170" s="35" t="s">
        <v>76</v>
      </c>
      <c r="I170" s="6" t="str">
        <f>'Detailed Car List + Stats'!T170</f>
        <v>Autoshow, Wheelspin</v>
      </c>
      <c r="J170" s="2" t="str">
        <f>'Detailed Car List + Stats'!U170</f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6.5" customHeight="1">
      <c r="A171" s="5" t="str">
        <f>'Detailed Car List + Stats'!B171</f>
        <v>2012</v>
      </c>
      <c r="B171" s="5" t="str">
        <f>'Detailed Car List + Stats'!C171</f>
        <v>Ferrari</v>
      </c>
      <c r="C171" s="5" t="str">
        <f>'Detailed Car List + Stats'!D171</f>
        <v>599XX Evolution</v>
      </c>
      <c r="D171" s="5" t="str">
        <f>'Detailed Car List + Stats'!E171</f>
        <v>Extreme Track Toys</v>
      </c>
      <c r="E171" s="50" t="s">
        <v>466</v>
      </c>
      <c r="F171" s="5" t="str">
        <f>'Detailed Car List + Stats'!G171</f>
        <v>Italy</v>
      </c>
      <c r="G171" s="9" t="str">
        <f>'Detailed Car List + Stats'!H171</f>
        <v/>
      </c>
      <c r="H171" s="48"/>
      <c r="I171" s="5" t="str">
        <f>'Detailed Car List + Stats'!T171</f>
        <v>Wheelspin, Seasonal</v>
      </c>
      <c r="J171" s="21" t="str">
        <f>'Detailed Car List + Stats'!U171</f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6.5" customHeight="1">
      <c r="A172" s="6" t="str">
        <f>'Detailed Car List + Stats'!B172</f>
        <v>2017</v>
      </c>
      <c r="B172" s="6" t="str">
        <f>'Detailed Car List + Stats'!C172</f>
        <v>Ferrari</v>
      </c>
      <c r="C172" s="6" t="str">
        <f>'Detailed Car List + Stats'!D172</f>
        <v>812 Superfast</v>
      </c>
      <c r="D172" s="6" t="str">
        <f>'Detailed Car List + Stats'!E172</f>
        <v>Super GT</v>
      </c>
      <c r="E172" s="32" t="s">
        <v>468</v>
      </c>
      <c r="F172" s="6" t="str">
        <f>'Detailed Car List + Stats'!G172</f>
        <v>Italy</v>
      </c>
      <c r="G172" s="19">
        <f>'Detailed Car List + Stats'!H172</f>
        <v>395000</v>
      </c>
      <c r="H172" s="35" t="s">
        <v>76</v>
      </c>
      <c r="I172" s="6" t="str">
        <f>'Detailed Car List + Stats'!T172</f>
        <v>Autoshow, Wheelspin</v>
      </c>
      <c r="J172" s="2" t="str">
        <f>'Detailed Car List + Stats'!U172</f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6.5" customHeight="1">
      <c r="A173" s="6" t="str">
        <f>'Detailed Car List + Stats'!B173</f>
        <v>1969</v>
      </c>
      <c r="B173" s="6" t="str">
        <f>'Detailed Car List + Stats'!C173</f>
        <v>Ferrari</v>
      </c>
      <c r="C173" s="6" t="str">
        <f>'Detailed Car List + Stats'!D173</f>
        <v>Dino 246 GT</v>
      </c>
      <c r="D173" s="6" t="str">
        <f>'Detailed Car List + Stats'!E173</f>
        <v>Rare Classics</v>
      </c>
      <c r="E173" s="8" t="s">
        <v>349</v>
      </c>
      <c r="F173" s="6" t="str">
        <f>'Detailed Car List + Stats'!G173</f>
        <v>Italy</v>
      </c>
      <c r="G173" s="19">
        <f>'Detailed Car List + Stats'!H173</f>
        <v>390000</v>
      </c>
      <c r="H173" s="34" t="s">
        <v>62</v>
      </c>
      <c r="I173" s="6" t="str">
        <f>'Detailed Car List + Stats'!T173</f>
        <v>Autoshow, Wheelspin</v>
      </c>
      <c r="J173" s="2" t="str">
        <f>'Detailed Car List + Stats'!U173</f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6.5" customHeight="1">
      <c r="A174" s="6" t="str">
        <f>'Detailed Car List + Stats'!B174</f>
        <v>2002</v>
      </c>
      <c r="B174" s="6" t="str">
        <f>'Detailed Car List + Stats'!C174</f>
        <v>Ferrari</v>
      </c>
      <c r="C174" s="6" t="str">
        <f>'Detailed Car List + Stats'!D174</f>
        <v>Enzo Ferrari</v>
      </c>
      <c r="D174" s="6" t="str">
        <f>'Detailed Car List + Stats'!E174</f>
        <v>Retro Supercars</v>
      </c>
      <c r="E174" s="32" t="s">
        <v>357</v>
      </c>
      <c r="F174" s="6" t="str">
        <f>'Detailed Car List + Stats'!G174</f>
        <v>Italy</v>
      </c>
      <c r="G174" s="19">
        <f>'Detailed Car List + Stats'!H174</f>
        <v>3500000</v>
      </c>
      <c r="H174" s="35" t="s">
        <v>76</v>
      </c>
      <c r="I174" s="6" t="str">
        <f>'Detailed Car List + Stats'!T174</f>
        <v>Autoshow</v>
      </c>
      <c r="J174" s="2" t="str">
        <f>'Detailed Car List + Stats'!U174</f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6.5" customHeight="1">
      <c r="A175" s="6" t="str">
        <f>'Detailed Car List + Stats'!B175</f>
        <v>2015</v>
      </c>
      <c r="B175" s="6" t="str">
        <f>'Detailed Car List + Stats'!C175</f>
        <v>Ferrari</v>
      </c>
      <c r="C175" s="6" t="str">
        <f>'Detailed Car List + Stats'!D175</f>
        <v>F12tdf</v>
      </c>
      <c r="D175" s="6" t="str">
        <f>'Detailed Car List + Stats'!E175</f>
        <v>Super GT</v>
      </c>
      <c r="E175" s="32" t="s">
        <v>472</v>
      </c>
      <c r="F175" s="6" t="str">
        <f>'Detailed Car List + Stats'!G175</f>
        <v>Italy</v>
      </c>
      <c r="G175" s="19">
        <f>'Detailed Car List + Stats'!H175</f>
        <v>500000</v>
      </c>
      <c r="H175" s="34" t="s">
        <v>62</v>
      </c>
      <c r="I175" s="6" t="str">
        <f>'Detailed Car List + Stats'!T175</f>
        <v>Autoshow, Wheelspin</v>
      </c>
      <c r="J175" s="2" t="str">
        <f>'Detailed Car List + Stats'!U175</f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6.5" customHeight="1">
      <c r="A176" s="5" t="str">
        <f>'Detailed Car List + Stats'!B176</f>
        <v>1994</v>
      </c>
      <c r="B176" s="5" t="str">
        <f>'Detailed Car List + Stats'!C176</f>
        <v>Ferrari</v>
      </c>
      <c r="C176" s="5" t="str">
        <f>'Detailed Car List + Stats'!D176</f>
        <v>F355 Berlinetta</v>
      </c>
      <c r="D176" s="5" t="str">
        <f>'Detailed Car List + Stats'!E176</f>
        <v>Retro Supercars</v>
      </c>
      <c r="E176" s="25" t="s">
        <v>475</v>
      </c>
      <c r="F176" s="5" t="str">
        <f>'Detailed Car List + Stats'!G176</f>
        <v>Italy</v>
      </c>
      <c r="G176" s="9">
        <f>'Detailed Car List + Stats'!H176</f>
        <v>250000</v>
      </c>
      <c r="H176" s="34" t="s">
        <v>62</v>
      </c>
      <c r="I176" s="5" t="str">
        <f>'Detailed Car List + Stats'!T176</f>
        <v>Wheelspin, Seasonal</v>
      </c>
      <c r="J176" s="21" t="str">
        <f>'Detailed Car List + Stats'!U176</f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6.5" customHeight="1">
      <c r="A177" s="6" t="str">
        <f>'Detailed Car List + Stats'!B177</f>
        <v>1987</v>
      </c>
      <c r="B177" s="6" t="str">
        <f>'Detailed Car List + Stats'!C177</f>
        <v>Ferrari</v>
      </c>
      <c r="C177" s="6" t="str">
        <f>'Detailed Car List + Stats'!D177</f>
        <v>F40</v>
      </c>
      <c r="D177" s="6" t="str">
        <f>'Detailed Car List + Stats'!E177</f>
        <v>Retro Supercars</v>
      </c>
      <c r="E177" s="36" t="s">
        <v>273</v>
      </c>
      <c r="F177" s="6" t="str">
        <f>'Detailed Car List + Stats'!G177</f>
        <v>Italy</v>
      </c>
      <c r="G177" s="19">
        <f>'Detailed Car List + Stats'!H177</f>
        <v>2000000</v>
      </c>
      <c r="H177" s="35" t="s">
        <v>76</v>
      </c>
      <c r="I177" s="6" t="str">
        <f>'Detailed Car List + Stats'!T177</f>
        <v>Autoshow, Collection Journal</v>
      </c>
      <c r="J177" s="2" t="str">
        <f>'Detailed Car List + Stats'!U177</f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6.5" customHeight="1">
      <c r="A178" s="6" t="str">
        <f>'Detailed Car List + Stats'!B178</f>
        <v>1989</v>
      </c>
      <c r="B178" s="6" t="str">
        <f>'Detailed Car List + Stats'!C178</f>
        <v>Ferrari</v>
      </c>
      <c r="C178" s="6" t="str">
        <f>'Detailed Car List + Stats'!D178</f>
        <v>F40 Competizione</v>
      </c>
      <c r="D178" s="6" t="str">
        <f>'Detailed Car List + Stats'!E178</f>
        <v>Retro Racers</v>
      </c>
      <c r="E178" s="49" t="s">
        <v>479</v>
      </c>
      <c r="F178" s="6" t="str">
        <f>'Detailed Car List + Stats'!G178</f>
        <v>Italy</v>
      </c>
      <c r="G178" s="19">
        <f>'Detailed Car List + Stats'!H178</f>
        <v>3200000</v>
      </c>
      <c r="H178" s="35" t="s">
        <v>76</v>
      </c>
      <c r="I178" s="6" t="str">
        <f>'Detailed Car List + Stats'!T178</f>
        <v>Autoshow, Wheelspin</v>
      </c>
      <c r="J178" s="2" t="str">
        <f>'Detailed Car List + Stats'!U178</f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6.5" customHeight="1">
      <c r="A179" s="6" t="str">
        <f>'Detailed Car List + Stats'!B179</f>
        <v>1995</v>
      </c>
      <c r="B179" s="6" t="str">
        <f>'Detailed Car List + Stats'!C179</f>
        <v>Ferrari</v>
      </c>
      <c r="C179" s="6" t="str">
        <f>'Detailed Car List + Stats'!D179</f>
        <v>F50</v>
      </c>
      <c r="D179" s="6" t="str">
        <f>'Detailed Car List + Stats'!E179</f>
        <v>Retro Supercars</v>
      </c>
      <c r="E179" s="36" t="s">
        <v>273</v>
      </c>
      <c r="F179" s="6" t="str">
        <f>'Detailed Car List + Stats'!G179</f>
        <v>Italy</v>
      </c>
      <c r="G179" s="19">
        <f>'Detailed Car List + Stats'!H179</f>
        <v>4500000</v>
      </c>
      <c r="H179" s="35" t="s">
        <v>76</v>
      </c>
      <c r="I179" s="6" t="str">
        <f>'Detailed Car List + Stats'!T179</f>
        <v>Autoshow, Wheelspin</v>
      </c>
      <c r="J179" s="2" t="str">
        <f>'Detailed Car List + Stats'!U179</f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6.5" customHeight="1">
      <c r="A180" s="5" t="str">
        <f>'Detailed Car List + Stats'!B180</f>
        <v>1996</v>
      </c>
      <c r="B180" s="5" t="str">
        <f>'Detailed Car List + Stats'!C180</f>
        <v>Ferrari</v>
      </c>
      <c r="C180" s="5" t="str">
        <f>'Detailed Car List + Stats'!D180</f>
        <v>F50 GT</v>
      </c>
      <c r="D180" s="5" t="str">
        <f>'Detailed Car List + Stats'!E180</f>
        <v>Extreme Track Toys</v>
      </c>
      <c r="E180" s="49" t="s">
        <v>482</v>
      </c>
      <c r="F180" s="5" t="str">
        <f>'Detailed Car List + Stats'!G180</f>
        <v>Italy</v>
      </c>
      <c r="G180" s="9" t="str">
        <f>'Detailed Car List + Stats'!H180</f>
        <v/>
      </c>
      <c r="H180" s="48"/>
      <c r="I180" s="5" t="str">
        <f>'Detailed Car List + Stats'!T180</f>
        <v>Collection Journal, Seasonal</v>
      </c>
      <c r="J180" s="21" t="str">
        <f>'Detailed Car List + Stats'!U180</f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6.5" customHeight="1">
      <c r="A181" s="5" t="str">
        <f>'Detailed Car List + Stats'!B181</f>
        <v>2019</v>
      </c>
      <c r="B181" s="5" t="str">
        <f>'Detailed Car List + Stats'!C181</f>
        <v>Ferrari</v>
      </c>
      <c r="C181" s="5" t="str">
        <f>'Detailed Car List + Stats'!D181</f>
        <v>F8 Tributo</v>
      </c>
      <c r="D181" s="5" t="str">
        <f>'Detailed Car List + Stats'!E181</f>
        <v>Modern Supercars</v>
      </c>
      <c r="E181" s="50" t="s">
        <v>484</v>
      </c>
      <c r="F181" s="5" t="str">
        <f>'Detailed Car List + Stats'!G181</f>
        <v>Italy</v>
      </c>
      <c r="G181" s="9" t="str">
        <f>'Detailed Car List + Stats'!H181</f>
        <v/>
      </c>
      <c r="H181" s="48"/>
      <c r="I181" s="5" t="str">
        <f>'Detailed Car List + Stats'!T181</f>
        <v>Wheelspin, Seasonal</v>
      </c>
      <c r="J181" s="21" t="str">
        <f>'Detailed Car List + Stats'!U181</f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6.5" customHeight="1">
      <c r="A182" s="37" t="str">
        <f>'Detailed Car List + Stats'!B182</f>
        <v>2025</v>
      </c>
      <c r="B182" s="37" t="str">
        <f>'Detailed Car List + Stats'!C182</f>
        <v>Ferrari</v>
      </c>
      <c r="C182" s="37" t="str">
        <f>'Detailed Car List + Stats'!D182</f>
        <v>F80</v>
      </c>
      <c r="D182" s="37" t="str">
        <f>'Detailed Car List + Stats'!E182</f>
        <v>Hypercars</v>
      </c>
      <c r="E182" s="49" t="s">
        <v>127</v>
      </c>
      <c r="F182" s="37" t="str">
        <f>'Detailed Car List + Stats'!G182</f>
        <v>Italy</v>
      </c>
      <c r="G182" s="38">
        <f>'Detailed Car List + Stats'!H182</f>
        <v>1000000</v>
      </c>
      <c r="H182" s="35" t="s">
        <v>76</v>
      </c>
      <c r="I182" s="37" t="str">
        <f>'Detailed Car List + Stats'!T182</f>
        <v>Autoshow DLC</v>
      </c>
      <c r="J182" s="37" t="str">
        <f>'Detailed Car List + Stats'!U182</f>
        <v>Italian Passion Car Pack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6.5" customHeight="1">
      <c r="A183" s="6" t="str">
        <f>'Detailed Car List + Stats'!B183</f>
        <v>2005</v>
      </c>
      <c r="B183" s="6" t="str">
        <f>'Detailed Car List + Stats'!C183</f>
        <v>Ferrari</v>
      </c>
      <c r="C183" s="6" t="str">
        <f>'Detailed Car List + Stats'!D183</f>
        <v>FXX</v>
      </c>
      <c r="D183" s="6" t="str">
        <f>'Detailed Car List + Stats'!E183</f>
        <v>Extreme Track Toys</v>
      </c>
      <c r="E183" s="50" t="s">
        <v>488</v>
      </c>
      <c r="F183" s="6" t="str">
        <f>'Detailed Car List + Stats'!G183</f>
        <v>Italy</v>
      </c>
      <c r="G183" s="19">
        <f>'Detailed Car List + Stats'!H183</f>
        <v>2500000</v>
      </c>
      <c r="H183" s="35" t="s">
        <v>76</v>
      </c>
      <c r="I183" s="6" t="str">
        <f>'Detailed Car List + Stats'!T183</f>
        <v>Autoshow, Wheelspin</v>
      </c>
      <c r="J183" s="2" t="str">
        <f>'Detailed Car List + Stats'!U183</f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6.5" customHeight="1">
      <c r="A184" s="6" t="str">
        <f>'Detailed Car List + Stats'!B184</f>
        <v>2014</v>
      </c>
      <c r="B184" s="6" t="str">
        <f>'Detailed Car List + Stats'!C184</f>
        <v>Ferrari</v>
      </c>
      <c r="C184" s="6" t="str">
        <f>'Detailed Car List + Stats'!D184</f>
        <v>FXX K</v>
      </c>
      <c r="D184" s="6" t="str">
        <f>'Detailed Car List + Stats'!E184</f>
        <v>Extreme Track Toys</v>
      </c>
      <c r="E184" s="49" t="s">
        <v>490</v>
      </c>
      <c r="F184" s="6" t="str">
        <f>'Detailed Car List + Stats'!G184</f>
        <v>Italy</v>
      </c>
      <c r="G184" s="19">
        <f>'Detailed Car List + Stats'!H184</f>
        <v>4300000</v>
      </c>
      <c r="H184" s="35" t="s">
        <v>76</v>
      </c>
      <c r="I184" s="6" t="str">
        <f>'Detailed Car List + Stats'!T184</f>
        <v>Autoshow, Wheelspin</v>
      </c>
      <c r="J184" s="2" t="str">
        <f>'Detailed Car List + Stats'!U184</f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6.5" customHeight="1">
      <c r="A185" s="6" t="str">
        <f>'Detailed Car List + Stats'!B185</f>
        <v>2018</v>
      </c>
      <c r="B185" s="6" t="str">
        <f>'Detailed Car List + Stats'!C185</f>
        <v>Ferrari</v>
      </c>
      <c r="C185" s="6" t="str">
        <f>'Detailed Car List + Stats'!D185</f>
        <v>FXX-K Evo</v>
      </c>
      <c r="D185" s="6" t="str">
        <f>'Detailed Car List + Stats'!E185</f>
        <v>Extreme Track Toys</v>
      </c>
      <c r="E185" s="49" t="s">
        <v>492</v>
      </c>
      <c r="F185" s="6" t="str">
        <f>'Detailed Car List + Stats'!G185</f>
        <v>Italy</v>
      </c>
      <c r="G185" s="19">
        <f>'Detailed Car List + Stats'!H185</f>
        <v>4500000</v>
      </c>
      <c r="H185" s="35" t="s">
        <v>76</v>
      </c>
      <c r="I185" s="6" t="str">
        <f>'Detailed Car List + Stats'!T185</f>
        <v>Autoshow, Wheelspin</v>
      </c>
      <c r="J185" s="2" t="str">
        <f>'Detailed Car List + Stats'!U185</f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6.5" customHeight="1">
      <c r="A186" s="37" t="str">
        <f>'Detailed Car List + Stats'!B186</f>
        <v>2018</v>
      </c>
      <c r="B186" s="37" t="str">
        <f>'Detailed Car List + Stats'!C186</f>
        <v>Ferrari</v>
      </c>
      <c r="C186" s="37" t="str">
        <f>'Detailed Car List + Stats'!D186</f>
        <v>FXX-K Evo Welcome Pack</v>
      </c>
      <c r="D186" s="37" t="str">
        <f>'Detailed Car List + Stats'!E186</f>
        <v>Extreme Track Toys</v>
      </c>
      <c r="E186" s="49" t="s">
        <v>494</v>
      </c>
      <c r="F186" s="37" t="str">
        <f>'Detailed Car List + Stats'!G186</f>
        <v>Italy</v>
      </c>
      <c r="G186" s="38">
        <f>'Detailed Car List + Stats'!H186</f>
        <v>250000</v>
      </c>
      <c r="H186" s="35" t="s">
        <v>76</v>
      </c>
      <c r="I186" s="37" t="str">
        <f>'Detailed Car List + Stats'!T186</f>
        <v>Autoshow DLC</v>
      </c>
      <c r="J186" s="37" t="str">
        <f>'Detailed Car List + Stats'!U186</f>
        <v>Welcome Pack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6.5" customHeight="1">
      <c r="A187" s="6" t="str">
        <f>'Detailed Car List + Stats'!B187</f>
        <v>2017</v>
      </c>
      <c r="B187" s="6" t="str">
        <f>'Detailed Car List + Stats'!C187</f>
        <v>Ferrari</v>
      </c>
      <c r="C187" s="6" t="str">
        <f>'Detailed Car List + Stats'!D187</f>
        <v>J50</v>
      </c>
      <c r="D187" s="6" t="str">
        <f>'Detailed Car List + Stats'!E187</f>
        <v>Modern Supercars</v>
      </c>
      <c r="E187" s="32" t="s">
        <v>496</v>
      </c>
      <c r="F187" s="6" t="str">
        <f>'Detailed Car List + Stats'!G187</f>
        <v>Italy</v>
      </c>
      <c r="G187" s="19">
        <f>'Detailed Car List + Stats'!H187</f>
        <v>2500000</v>
      </c>
      <c r="H187" s="10" t="s">
        <v>27</v>
      </c>
      <c r="I187" s="6" t="str">
        <f>'Detailed Car List + Stats'!T187</f>
        <v>Autoshow, Wheelspin</v>
      </c>
      <c r="J187" s="2" t="str">
        <f>'Detailed Car List + Stats'!U187</f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6.5" customHeight="1">
      <c r="A188" s="37" t="str">
        <f>'Detailed Car List + Stats'!B188</f>
        <v>2017</v>
      </c>
      <c r="B188" s="37" t="str">
        <f>'Detailed Car List + Stats'!C188</f>
        <v>Ferrari</v>
      </c>
      <c r="C188" s="37" t="str">
        <f>'Detailed Car List + Stats'!D188</f>
        <v>J50 Preorder Car</v>
      </c>
      <c r="D188" s="37" t="str">
        <f>'Detailed Car List + Stats'!E188</f>
        <v>Modern Supercars</v>
      </c>
      <c r="E188" s="32" t="s">
        <v>277</v>
      </c>
      <c r="F188" s="37" t="str">
        <f>'Detailed Car List + Stats'!G188</f>
        <v>Italy</v>
      </c>
      <c r="G188" s="38">
        <f>'Detailed Car List + Stats'!H188</f>
        <v>309000</v>
      </c>
      <c r="H188" s="35" t="s">
        <v>76</v>
      </c>
      <c r="I188" s="37" t="str">
        <f>'Detailed Car List + Stats'!T188</f>
        <v>Autoshow DLC</v>
      </c>
      <c r="J188" s="37" t="str">
        <f>'Detailed Car List + Stats'!U188</f>
        <v>Preorder Bonus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6.5" customHeight="1">
      <c r="A189" s="6" t="str">
        <f>'Detailed Car List + Stats'!B189</f>
        <v>2013</v>
      </c>
      <c r="B189" s="6" t="str">
        <f>'Detailed Car List + Stats'!C189</f>
        <v>Ferrari</v>
      </c>
      <c r="C189" s="6" t="str">
        <f>'Detailed Car List + Stats'!D189</f>
        <v>LaFerrari</v>
      </c>
      <c r="D189" s="6" t="str">
        <f>'Detailed Car List + Stats'!E189</f>
        <v>Hypercars</v>
      </c>
      <c r="E189" s="50" t="s">
        <v>500</v>
      </c>
      <c r="F189" s="6" t="str">
        <f>'Detailed Car List + Stats'!G189</f>
        <v>Italy</v>
      </c>
      <c r="G189" s="19">
        <f>'Detailed Car List + Stats'!H189</f>
        <v>3000000</v>
      </c>
      <c r="H189" s="35" t="s">
        <v>76</v>
      </c>
      <c r="I189" s="6" t="str">
        <f>'Detailed Car List + Stats'!T189</f>
        <v>Autoshow, Wheelspin</v>
      </c>
      <c r="J189" s="2" t="str">
        <f>'Detailed Car List + Stats'!U189</f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6.5" customHeight="1">
      <c r="A190" s="6" t="str">
        <f>'Detailed Car List + Stats'!B190</f>
        <v>2019</v>
      </c>
      <c r="B190" s="6" t="str">
        <f>'Detailed Car List + Stats'!C190</f>
        <v>Ferrari</v>
      </c>
      <c r="C190" s="6" t="str">
        <f>'Detailed Car List + Stats'!D190</f>
        <v>Monza SP2</v>
      </c>
      <c r="D190" s="6" t="str">
        <f>'Detailed Car List + Stats'!E190</f>
        <v>Super GT</v>
      </c>
      <c r="E190" s="32" t="s">
        <v>502</v>
      </c>
      <c r="F190" s="6" t="str">
        <f>'Detailed Car List + Stats'!G190</f>
        <v>Italy</v>
      </c>
      <c r="G190" s="19">
        <f>'Detailed Car List + Stats'!H190</f>
        <v>2500000</v>
      </c>
      <c r="H190" s="35" t="s">
        <v>76</v>
      </c>
      <c r="I190" s="6" t="str">
        <f>'Detailed Car List + Stats'!T190</f>
        <v>Autoshow, Wheelspin</v>
      </c>
      <c r="J190" s="2" t="str">
        <f>'Detailed Car List + Stats'!U190</f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6.5" customHeight="1">
      <c r="A191" s="6" t="str">
        <f>'Detailed Car List + Stats'!B191</f>
        <v>2018</v>
      </c>
      <c r="B191" s="6" t="str">
        <f>'Detailed Car List + Stats'!C191</f>
        <v>Ferrari</v>
      </c>
      <c r="C191" s="6" t="str">
        <f>'Detailed Car List + Stats'!D191</f>
        <v>Portofino</v>
      </c>
      <c r="D191" s="6" t="str">
        <f>'Detailed Car List + Stats'!E191</f>
        <v>Super GT</v>
      </c>
      <c r="E191" s="32" t="s">
        <v>504</v>
      </c>
      <c r="F191" s="6" t="str">
        <f>'Detailed Car List + Stats'!G191</f>
        <v>Italy</v>
      </c>
      <c r="G191" s="19">
        <f>'Detailed Car List + Stats'!H191</f>
        <v>200000</v>
      </c>
      <c r="H191" s="34" t="s">
        <v>62</v>
      </c>
      <c r="I191" s="6" t="str">
        <f>'Detailed Car List + Stats'!T191</f>
        <v>Autoshow, Wheelspin</v>
      </c>
      <c r="J191" s="2" t="str">
        <f>'Detailed Car List + Stats'!U191</f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6.5" customHeight="1">
      <c r="A192" s="5" t="str">
        <f>'Detailed Car List + Stats'!B192</f>
        <v>2020</v>
      </c>
      <c r="B192" s="5" t="str">
        <f>'Detailed Car List + Stats'!C192</f>
        <v>Ferrari</v>
      </c>
      <c r="C192" s="5" t="str">
        <f>'Detailed Car List + Stats'!D192</f>
        <v>Roma</v>
      </c>
      <c r="D192" s="5" t="str">
        <f>'Detailed Car List + Stats'!E192</f>
        <v>Super GT</v>
      </c>
      <c r="E192" s="32" t="s">
        <v>433</v>
      </c>
      <c r="F192" s="5" t="str">
        <f>'Detailed Car List + Stats'!G192</f>
        <v>Italy</v>
      </c>
      <c r="G192" s="9">
        <f>'Detailed Car List + Stats'!H192</f>
        <v>250000</v>
      </c>
      <c r="H192" s="34" t="s">
        <v>62</v>
      </c>
      <c r="I192" s="5" t="str">
        <f>'Detailed Car List + Stats'!T192</f>
        <v>Seasonal</v>
      </c>
      <c r="J192" s="21" t="str">
        <f>'Detailed Car List + Stats'!U192</f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6.5" customHeight="1">
      <c r="A193" s="6" t="str">
        <f>'Detailed Car List + Stats'!B193</f>
        <v>2020</v>
      </c>
      <c r="B193" s="6" t="str">
        <f>'Detailed Car List + Stats'!C193</f>
        <v>Ferrari</v>
      </c>
      <c r="C193" s="6" t="str">
        <f>'Detailed Car List + Stats'!D193</f>
        <v>SF90 Stradale</v>
      </c>
      <c r="D193" s="6" t="str">
        <f>'Detailed Car List + Stats'!E193</f>
        <v>Hypercars</v>
      </c>
      <c r="E193" s="50" t="s">
        <v>507</v>
      </c>
      <c r="F193" s="6" t="str">
        <f>'Detailed Car List + Stats'!G193</f>
        <v>Italy</v>
      </c>
      <c r="G193" s="19">
        <f>'Detailed Car List + Stats'!H193</f>
        <v>575000</v>
      </c>
      <c r="H193" s="35" t="s">
        <v>76</v>
      </c>
      <c r="I193" s="6" t="str">
        <f>'Detailed Car List + Stats'!T193</f>
        <v>Autoshow, Wheelspin</v>
      </c>
      <c r="J193" s="2" t="str">
        <f>'Detailed Car List + Stats'!U193</f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6.5" customHeight="1">
      <c r="A194" s="6" t="str">
        <f>'Detailed Car List + Stats'!B194</f>
        <v>2014</v>
      </c>
      <c r="B194" s="6" t="str">
        <f>'Detailed Car List + Stats'!C194</f>
        <v>Ford</v>
      </c>
      <c r="C194" s="6" t="str">
        <f>'Detailed Car List + Stats'!D194</f>
        <v>#11 Rockstar F-150 Trophy Truck</v>
      </c>
      <c r="D194" s="6" t="str">
        <f>'Detailed Car List + Stats'!E194</f>
        <v>Unlimited Offroad</v>
      </c>
      <c r="E194" s="36" t="s">
        <v>199</v>
      </c>
      <c r="F194" s="6" t="str">
        <f>'Detailed Car List + Stats'!G194</f>
        <v>USA</v>
      </c>
      <c r="G194" s="19">
        <f>'Detailed Car List + Stats'!H194</f>
        <v>450000</v>
      </c>
      <c r="H194" s="34" t="s">
        <v>62</v>
      </c>
      <c r="I194" s="6" t="str">
        <f>'Detailed Car List + Stats'!T194</f>
        <v>Autoshow, Wheelspin</v>
      </c>
      <c r="J194" s="2" t="str">
        <f>'Detailed Car List + Stats'!U194</f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6.5" customHeight="1">
      <c r="A195" s="6" t="str">
        <f>'Detailed Car List + Stats'!B195</f>
        <v>2017</v>
      </c>
      <c r="B195" s="6" t="str">
        <f>'Detailed Car List + Stats'!C195</f>
        <v>Ford</v>
      </c>
      <c r="C195" s="6" t="str">
        <f>'Detailed Car List + Stats'!D195</f>
        <v>#14 Rahal Letterman Lanigan Racing Fiesta</v>
      </c>
      <c r="D195" s="6" t="str">
        <f>'Detailed Car List + Stats'!E195</f>
        <v>Rally Monsters</v>
      </c>
      <c r="E195" s="32" t="s">
        <v>496</v>
      </c>
      <c r="F195" s="6" t="str">
        <f>'Detailed Car List + Stats'!G195</f>
        <v>USA</v>
      </c>
      <c r="G195" s="19">
        <f>'Detailed Car List + Stats'!H195</f>
        <v>150000</v>
      </c>
      <c r="H195" s="34" t="s">
        <v>62</v>
      </c>
      <c r="I195" s="6" t="str">
        <f>'Detailed Car List + Stats'!T195</f>
        <v>Autoshow, Collection Journal</v>
      </c>
      <c r="J195" s="2" t="str">
        <f>'Detailed Car List + Stats'!U195</f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6.5" customHeight="1">
      <c r="A196" s="6" t="str">
        <f>'Detailed Car List + Stats'!B196</f>
        <v>1966</v>
      </c>
      <c r="B196" s="6" t="str">
        <f>'Detailed Car List + Stats'!C196</f>
        <v>Ford</v>
      </c>
      <c r="C196" s="6" t="str">
        <f>'Detailed Car List + Stats'!D196</f>
        <v>#2 GT40 Mk II</v>
      </c>
      <c r="D196" s="6" t="str">
        <f>'Detailed Car List + Stats'!E196</f>
        <v>Classic Racers</v>
      </c>
      <c r="E196" s="36" t="s">
        <v>275</v>
      </c>
      <c r="F196" s="6" t="str">
        <f>'Detailed Car List + Stats'!G196</f>
        <v>USA</v>
      </c>
      <c r="G196" s="19">
        <f>'Detailed Car List + Stats'!H196</f>
        <v>13200000</v>
      </c>
      <c r="H196" s="35" t="s">
        <v>76</v>
      </c>
      <c r="I196" s="6" t="str">
        <f>'Detailed Car List + Stats'!T196</f>
        <v>Autoshow, Wheelspin</v>
      </c>
      <c r="J196" s="2" t="str">
        <f>'Detailed Car List + Stats'!U196</f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6.5" customHeight="1">
      <c r="A197" s="6" t="str">
        <f>'Detailed Car List + Stats'!B197</f>
        <v>2020</v>
      </c>
      <c r="B197" s="6" t="str">
        <f>'Detailed Car List + Stats'!C197</f>
        <v>Ford</v>
      </c>
      <c r="C197" s="6" t="str">
        <f>'Detailed Car List + Stats'!D197</f>
        <v>#2069 Ford Performance Bronco R</v>
      </c>
      <c r="D197" s="6" t="str">
        <f>'Detailed Car List + Stats'!E197</f>
        <v>Offroad</v>
      </c>
      <c r="E197" s="8" t="s">
        <v>515</v>
      </c>
      <c r="F197" s="6" t="str">
        <f>'Detailed Car List + Stats'!G197</f>
        <v>USA</v>
      </c>
      <c r="G197" s="19">
        <f>'Detailed Car List + Stats'!H197</f>
        <v>450000</v>
      </c>
      <c r="H197" s="34" t="s">
        <v>62</v>
      </c>
      <c r="I197" s="6" t="str">
        <f>'Detailed Car List + Stats'!T197</f>
        <v>Autoshow, Wheelspin</v>
      </c>
      <c r="J197" s="2" t="str">
        <f>'Detailed Car List + Stats'!U197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6.5" customHeight="1">
      <c r="A198" s="6" t="str">
        <f>'Detailed Car List + Stats'!B198</f>
        <v>2017</v>
      </c>
      <c r="B198" s="6" t="str">
        <f>'Detailed Car List + Stats'!C198</f>
        <v>Ford</v>
      </c>
      <c r="C198" s="6" t="str">
        <f>'Detailed Car List + Stats'!D198</f>
        <v>#25 'Brocky' Ultra4 Bronco RTR</v>
      </c>
      <c r="D198" s="6" t="str">
        <f>'Detailed Car List + Stats'!E198</f>
        <v>Unlimited Offroad</v>
      </c>
      <c r="E198" s="36" t="s">
        <v>81</v>
      </c>
      <c r="F198" s="6" t="str">
        <f>'Detailed Car List + Stats'!G198</f>
        <v>USA</v>
      </c>
      <c r="G198" s="19">
        <f>'Detailed Car List + Stats'!H198</f>
        <v>75000</v>
      </c>
      <c r="H198" s="34" t="s">
        <v>62</v>
      </c>
      <c r="I198" s="6" t="str">
        <f>'Detailed Car List + Stats'!T198</f>
        <v>Autoshow, Collection Journal</v>
      </c>
      <c r="J198" s="2" t="str">
        <f>'Detailed Car List + Stats'!U198</f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6.5" customHeight="1">
      <c r="A199" s="6" t="str">
        <f>'Detailed Car List + Stats'!B199</f>
        <v>2001</v>
      </c>
      <c r="B199" s="6" t="str">
        <f>'Detailed Car List + Stats'!C199</f>
        <v>Ford</v>
      </c>
      <c r="C199" s="6" t="str">
        <f>'Detailed Car List + Stats'!D199</f>
        <v>#4 Ford Focus RS</v>
      </c>
      <c r="D199" s="6" t="str">
        <f>'Detailed Car List + Stats'!E199</f>
        <v>Rally Monsters</v>
      </c>
      <c r="E199" s="36" t="s">
        <v>518</v>
      </c>
      <c r="F199" s="6" t="str">
        <f>'Detailed Car List + Stats'!G199</f>
        <v>USA</v>
      </c>
      <c r="G199" s="19">
        <f>'Detailed Car List + Stats'!H199</f>
        <v>415000</v>
      </c>
      <c r="H199" s="10" t="s">
        <v>27</v>
      </c>
      <c r="I199" s="6" t="str">
        <f>'Detailed Car List + Stats'!T199</f>
        <v>Autoshow, Wheelspin</v>
      </c>
      <c r="J199" s="2" t="str">
        <f>'Detailed Car List + Stats'!U199</f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6.5" customHeight="1">
      <c r="A200" s="6" t="str">
        <f>'Detailed Car List + Stats'!B200</f>
        <v>1977</v>
      </c>
      <c r="B200" s="6" t="str">
        <f>'Detailed Car List + Stats'!C200</f>
        <v>Ford</v>
      </c>
      <c r="C200" s="6" t="str">
        <f>'Detailed Car List + Stats'!D200</f>
        <v>#5 Escort RS1800 Mk II</v>
      </c>
      <c r="D200" s="6" t="str">
        <f>'Detailed Car List + Stats'!E200</f>
        <v>Classic Rally</v>
      </c>
      <c r="E200" s="25" t="s">
        <v>194</v>
      </c>
      <c r="F200" s="6" t="str">
        <f>'Detailed Car List + Stats'!G200</f>
        <v>USA</v>
      </c>
      <c r="G200" s="19">
        <f>'Detailed Car List + Stats'!H200</f>
        <v>185000</v>
      </c>
      <c r="H200" s="34" t="s">
        <v>62</v>
      </c>
      <c r="I200" s="6" t="str">
        <f>'Detailed Car List + Stats'!T200</f>
        <v>Autoshow, Wheelspin</v>
      </c>
      <c r="J200" s="2" t="str">
        <f>'Detailed Car List + Stats'!U200</f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6.5" customHeight="1">
      <c r="A201" s="6" t="str">
        <f>'Detailed Car List + Stats'!B201</f>
        <v>2022</v>
      </c>
      <c r="B201" s="6" t="str">
        <f>'Detailed Car List + Stats'!C201</f>
        <v>Ford</v>
      </c>
      <c r="C201" s="6" t="str">
        <f>'Detailed Car List + Stats'!D201</f>
        <v>Bronco Raptor</v>
      </c>
      <c r="D201" s="6" t="str">
        <f>'Detailed Car List + Stats'!E201</f>
        <v>Pickups &amp; 4x4s</v>
      </c>
      <c r="E201" s="8" t="s">
        <v>522</v>
      </c>
      <c r="F201" s="6" t="str">
        <f>'Detailed Car List + Stats'!G201</f>
        <v>USA</v>
      </c>
      <c r="G201" s="19">
        <f>'Detailed Car List + Stats'!H201</f>
        <v>50000</v>
      </c>
      <c r="H201" s="34" t="s">
        <v>62</v>
      </c>
      <c r="I201" s="6" t="str">
        <f>'Detailed Car List + Stats'!T201</f>
        <v>Autoshow, Wheelspin</v>
      </c>
      <c r="J201" s="2" t="str">
        <f>'Detailed Car List + Stats'!U201</f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6.5" customHeight="1">
      <c r="A202" s="6" t="str">
        <f>'Detailed Car List + Stats'!B202</f>
        <v>1973</v>
      </c>
      <c r="B202" s="6" t="str">
        <f>'Detailed Car List + Stats'!C202</f>
        <v>Ford</v>
      </c>
      <c r="C202" s="6" t="str">
        <f>'Detailed Car List + Stats'!D202</f>
        <v>Capri RS3100</v>
      </c>
      <c r="D202" s="6" t="str">
        <f>'Detailed Car List + Stats'!E202</f>
        <v>Classic Sports Cars</v>
      </c>
      <c r="E202" s="17" t="s">
        <v>524</v>
      </c>
      <c r="F202" s="6" t="str">
        <f>'Detailed Car List + Stats'!G202</f>
        <v>USA</v>
      </c>
      <c r="G202" s="19">
        <f>'Detailed Car List + Stats'!H202</f>
        <v>69000</v>
      </c>
      <c r="H202" s="10" t="s">
        <v>27</v>
      </c>
      <c r="I202" s="6" t="str">
        <f>'Detailed Car List + Stats'!T202</f>
        <v>Autoshow, Wheelspin</v>
      </c>
      <c r="J202" s="2" t="str">
        <f>'Detailed Car List + Stats'!U202</f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6.5" customHeight="1">
      <c r="A203" s="6" t="str">
        <f>'Detailed Car List + Stats'!B203</f>
        <v>2010</v>
      </c>
      <c r="B203" s="6" t="str">
        <f>'Detailed Car List + Stats'!C203</f>
        <v>Ford</v>
      </c>
      <c r="C203" s="6" t="str">
        <f>'Detailed Car List + Stats'!D203</f>
        <v>Crown Victoria Police Interceptor</v>
      </c>
      <c r="D203" s="6" t="str">
        <f>'Detailed Car List + Stats'!E203</f>
        <v>Retro Muscle</v>
      </c>
      <c r="E203" s="17" t="s">
        <v>526</v>
      </c>
      <c r="F203" s="6" t="str">
        <f>'Detailed Car List + Stats'!G203</f>
        <v>USA</v>
      </c>
      <c r="G203" s="19">
        <f>'Detailed Car List + Stats'!H203</f>
        <v>15000</v>
      </c>
      <c r="H203" s="20" t="s">
        <v>33</v>
      </c>
      <c r="I203" s="6" t="str">
        <f>'Detailed Car List + Stats'!T203</f>
        <v>Autoshow, Wheelspin</v>
      </c>
      <c r="J203" s="2" t="str">
        <f>'Detailed Car List + Stats'!U203</f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6.5" customHeight="1">
      <c r="A204" s="6" t="str">
        <f>'Detailed Car List + Stats'!B204</f>
        <v>1932</v>
      </c>
      <c r="B204" s="6" t="str">
        <f>'Detailed Car List + Stats'!C204</f>
        <v>Ford</v>
      </c>
      <c r="C204" s="6" t="str">
        <f>'Detailed Car List + Stats'!D204</f>
        <v>De Luxe Five-Window Coupe</v>
      </c>
      <c r="D204" s="6" t="str">
        <f>'Detailed Car List + Stats'!E204</f>
        <v>Rods &amp; Customs</v>
      </c>
      <c r="E204" s="17" t="s">
        <v>32</v>
      </c>
      <c r="F204" s="6" t="str">
        <f>'Detailed Car List + Stats'!G204</f>
        <v>USA</v>
      </c>
      <c r="G204" s="19">
        <f>'Detailed Car List + Stats'!H204</f>
        <v>36000</v>
      </c>
      <c r="H204" s="20" t="s">
        <v>33</v>
      </c>
      <c r="I204" s="6" t="str">
        <f>'Detailed Car List + Stats'!T204</f>
        <v>Autoshow, Wheelspin</v>
      </c>
      <c r="J204" s="2" t="str">
        <f>'Detailed Car List + Stats'!U204</f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6.5" customHeight="1">
      <c r="A205" s="6" t="str">
        <f>'Detailed Car List + Stats'!B205</f>
        <v>1992</v>
      </c>
      <c r="B205" s="6" t="str">
        <f>'Detailed Car List + Stats'!C205</f>
        <v>Ford</v>
      </c>
      <c r="C205" s="6" t="str">
        <f>'Detailed Car List + Stats'!D205</f>
        <v>Escort RS Cosworth</v>
      </c>
      <c r="D205" s="6" t="str">
        <f>'Detailed Car List + Stats'!E205</f>
        <v>Retro Rally</v>
      </c>
      <c r="E205" s="8" t="s">
        <v>530</v>
      </c>
      <c r="F205" s="6" t="str">
        <f>'Detailed Car List + Stats'!G205</f>
        <v>USA</v>
      </c>
      <c r="G205" s="19">
        <f>'Detailed Car List + Stats'!H205</f>
        <v>65000</v>
      </c>
      <c r="H205" s="10" t="s">
        <v>27</v>
      </c>
      <c r="I205" s="6" t="str">
        <f>'Detailed Car List + Stats'!T205</f>
        <v>Autoshow, Wheelspin</v>
      </c>
      <c r="J205" s="2" t="str">
        <f>'Detailed Car List + Stats'!U205</f>
        <v/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6.5" customHeight="1">
      <c r="A206" s="5" t="str">
        <f>'Detailed Car List + Stats'!B206</f>
        <v>2022</v>
      </c>
      <c r="B206" s="5" t="str">
        <f>'Detailed Car List + Stats'!C206</f>
        <v>Ford</v>
      </c>
      <c r="C206" s="5" t="str">
        <f>'Detailed Car List + Stats'!D206</f>
        <v>F-150 Lightning</v>
      </c>
      <c r="D206" s="5" t="str">
        <f>'Detailed Car List + Stats'!E206</f>
        <v>Pickups &amp; 4x4s</v>
      </c>
      <c r="E206" s="8" t="s">
        <v>532</v>
      </c>
      <c r="F206" s="5" t="str">
        <f>'Detailed Car List + Stats'!G206</f>
        <v>USA</v>
      </c>
      <c r="G206" s="9">
        <f>'Detailed Car List + Stats'!H206</f>
        <v>250000</v>
      </c>
      <c r="H206" s="34" t="s">
        <v>62</v>
      </c>
      <c r="I206" s="5" t="str">
        <f>'Detailed Car List + Stats'!T206</f>
        <v>Wheelspin, Seasonal</v>
      </c>
      <c r="J206" s="21" t="str">
        <f>'Detailed Car List + Stats'!U206</f>
        <v/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6.5" customHeight="1">
      <c r="A207" s="6" t="str">
        <f>'Detailed Car List + Stats'!B207</f>
        <v>2023</v>
      </c>
      <c r="B207" s="6" t="str">
        <f>'Detailed Car List + Stats'!C207</f>
        <v>Ford</v>
      </c>
      <c r="C207" s="6" t="str">
        <f>'Detailed Car List + Stats'!D207</f>
        <v>F-150 Raptor R</v>
      </c>
      <c r="D207" s="6" t="str">
        <f>'Detailed Car List + Stats'!E207</f>
        <v>Pickups &amp; 4x4s</v>
      </c>
      <c r="E207" s="25" t="s">
        <v>534</v>
      </c>
      <c r="F207" s="6" t="str">
        <f>'Detailed Car List + Stats'!G207</f>
        <v>USA</v>
      </c>
      <c r="G207" s="19">
        <f>'Detailed Car List + Stats'!H207</f>
        <v>110000</v>
      </c>
      <c r="H207" s="34" t="s">
        <v>62</v>
      </c>
      <c r="I207" s="6" t="str">
        <f>'Detailed Car List + Stats'!T207</f>
        <v>Autoshow, Wheelspin</v>
      </c>
      <c r="J207" s="2" t="str">
        <f>'Detailed Car List + Stats'!U207</f>
        <v/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6.5" customHeight="1">
      <c r="A208" s="37" t="str">
        <f>'Detailed Car List + Stats'!B208</f>
        <v>2023</v>
      </c>
      <c r="B208" s="37" t="str">
        <f>'Detailed Car List + Stats'!C208</f>
        <v>Ford</v>
      </c>
      <c r="C208" s="37" t="str">
        <f>'Detailed Car List + Stats'!D208</f>
        <v>F-150 Raptor R Welcome Pack</v>
      </c>
      <c r="D208" s="37" t="str">
        <f>'Detailed Car List + Stats'!E208</f>
        <v>Pickups &amp; 4x4s</v>
      </c>
      <c r="E208" s="25" t="s">
        <v>536</v>
      </c>
      <c r="F208" s="37" t="str">
        <f>'Detailed Car List + Stats'!G208</f>
        <v>USA</v>
      </c>
      <c r="G208" s="38">
        <f>'Detailed Car List + Stats'!H208</f>
        <v>50000</v>
      </c>
      <c r="H208" s="35" t="s">
        <v>76</v>
      </c>
      <c r="I208" s="37" t="str">
        <f>'Detailed Car List + Stats'!T208</f>
        <v>Autoshow DLC</v>
      </c>
      <c r="J208" s="37" t="str">
        <f>'Detailed Car List + Stats'!U208</f>
        <v>Welcome Pack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6.5" customHeight="1">
      <c r="A209" s="5" t="str">
        <f>'Detailed Car List + Stats'!B209</f>
        <v>2003</v>
      </c>
      <c r="B209" s="5" t="str">
        <f>'Detailed Car List + Stats'!C209</f>
        <v>Ford</v>
      </c>
      <c r="C209" s="5" t="str">
        <f>'Detailed Car List + Stats'!D209</f>
        <v>F-150 SVT Lightning</v>
      </c>
      <c r="D209" s="5" t="str">
        <f>'Detailed Car List + Stats'!E209</f>
        <v>Pickups &amp; 4x4s</v>
      </c>
      <c r="E209" s="8" t="s">
        <v>265</v>
      </c>
      <c r="F209" s="5" t="str">
        <f>'Detailed Car List + Stats'!G209</f>
        <v>USA</v>
      </c>
      <c r="G209" s="9">
        <f>'Detailed Car List + Stats'!H209</f>
        <v>250000</v>
      </c>
      <c r="H209" s="20" t="s">
        <v>33</v>
      </c>
      <c r="I209" s="5" t="str">
        <f>'Detailed Car List + Stats'!T209</f>
        <v>Seasonal</v>
      </c>
      <c r="J209" s="21" t="str">
        <f>'Detailed Car List + Stats'!U209</f>
        <v/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6.5" customHeight="1">
      <c r="A210" s="6" t="str">
        <f>'Detailed Car List + Stats'!B210</f>
        <v>1986</v>
      </c>
      <c r="B210" s="6" t="str">
        <f>'Detailed Car List + Stats'!C210</f>
        <v>Ford</v>
      </c>
      <c r="C210" s="6" t="str">
        <f>'Detailed Car List + Stats'!D210</f>
        <v>F-150 XLT Lariat</v>
      </c>
      <c r="D210" s="6" t="str">
        <f>'Detailed Car List + Stats'!E210</f>
        <v>Pickups &amp; 4x4s</v>
      </c>
      <c r="E210" s="17" t="s">
        <v>539</v>
      </c>
      <c r="F210" s="6" t="str">
        <f>'Detailed Car List + Stats'!G210</f>
        <v>USA</v>
      </c>
      <c r="G210" s="19">
        <f>'Detailed Car List + Stats'!H210</f>
        <v>45000</v>
      </c>
      <c r="H210" s="20" t="s">
        <v>33</v>
      </c>
      <c r="I210" s="6" t="str">
        <f>'Detailed Car List + Stats'!T210</f>
        <v>Autoshow, Wheelspin</v>
      </c>
      <c r="J210" s="2" t="str">
        <f>'Detailed Car List + Stats'!U210</f>
        <v/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6.5" customHeight="1">
      <c r="A211" s="5" t="str">
        <f>'Detailed Car List + Stats'!B211</f>
        <v>1986</v>
      </c>
      <c r="B211" s="5" t="str">
        <f>'Detailed Car List + Stats'!C211</f>
        <v>Ford</v>
      </c>
      <c r="C211" s="5" t="str">
        <f>'Detailed Car List + Stats'!D211</f>
        <v>F-150 XLT Lariat Forza Edition</v>
      </c>
      <c r="D211" s="5" t="str">
        <f>'Detailed Car List + Stats'!E211</f>
        <v>Drift Cars</v>
      </c>
      <c r="E211" s="50" t="s">
        <v>541</v>
      </c>
      <c r="F211" s="5" t="str">
        <f>'Detailed Car List + Stats'!G211</f>
        <v>USA</v>
      </c>
      <c r="G211" s="9">
        <f>'Detailed Car List + Stats'!H211</f>
        <v>500000</v>
      </c>
      <c r="H211" s="53" t="s">
        <v>430</v>
      </c>
      <c r="I211" s="5" t="str">
        <f>'Detailed Car List + Stats'!T211</f>
        <v>Wheelspin, Seasonal</v>
      </c>
      <c r="J211" s="21" t="str">
        <f>'Detailed Car List + Stats'!U211</f>
        <v/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6.5" customHeight="1">
      <c r="A212" s="6" t="str">
        <f>'Detailed Car List + Stats'!B212</f>
        <v>2023</v>
      </c>
      <c r="B212" s="6" t="str">
        <f>'Detailed Car List + Stats'!C212</f>
        <v>Ford</v>
      </c>
      <c r="C212" s="6" t="str">
        <f>'Detailed Car List + Stats'!D212</f>
        <v>Fiesta ST</v>
      </c>
      <c r="D212" s="6" t="str">
        <f>'Detailed Car List + Stats'!E212</f>
        <v>Hot Hatch</v>
      </c>
      <c r="E212" s="8" t="s">
        <v>532</v>
      </c>
      <c r="F212" s="6" t="str">
        <f>'Detailed Car List + Stats'!G212</f>
        <v>USA</v>
      </c>
      <c r="G212" s="19">
        <f>'Detailed Car List + Stats'!H212</f>
        <v>26000</v>
      </c>
      <c r="H212" s="20" t="s">
        <v>33</v>
      </c>
      <c r="I212" s="6" t="str">
        <f>'Detailed Car List + Stats'!T212</f>
        <v>Autoshow, Wheelspin</v>
      </c>
      <c r="J212" s="2" t="str">
        <f>'Detailed Car List + Stats'!U212</f>
        <v/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6.5" customHeight="1">
      <c r="A213" s="6" t="str">
        <f>'Detailed Car List + Stats'!B213</f>
        <v>2003</v>
      </c>
      <c r="B213" s="6" t="str">
        <f>'Detailed Car List + Stats'!C213</f>
        <v>Ford</v>
      </c>
      <c r="C213" s="6" t="str">
        <f>'Detailed Car List + Stats'!D213</f>
        <v>Focus RS</v>
      </c>
      <c r="D213" s="6" t="str">
        <f>'Detailed Car List + Stats'!E213</f>
        <v>Retro Hot Hatch</v>
      </c>
      <c r="E213" s="8" t="s">
        <v>51</v>
      </c>
      <c r="F213" s="6" t="str">
        <f>'Detailed Car List + Stats'!G213</f>
        <v>USA</v>
      </c>
      <c r="G213" s="19">
        <f>'Detailed Car List + Stats'!H213</f>
        <v>35000</v>
      </c>
      <c r="H213" s="20" t="s">
        <v>33</v>
      </c>
      <c r="I213" s="6" t="str">
        <f>'Detailed Car List + Stats'!T213</f>
        <v>Autoshow, Wheelspin</v>
      </c>
      <c r="J213" s="2" t="str">
        <f>'Detailed Car List + Stats'!U213</f>
        <v/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6.5" customHeight="1">
      <c r="A214" s="6" t="str">
        <f>'Detailed Car List + Stats'!B214</f>
        <v>2009</v>
      </c>
      <c r="B214" s="6" t="str">
        <f>'Detailed Car List + Stats'!C214</f>
        <v>Ford</v>
      </c>
      <c r="C214" s="6" t="str">
        <f>'Detailed Car List + Stats'!D214</f>
        <v>Focus RS</v>
      </c>
      <c r="D214" s="6" t="str">
        <f>'Detailed Car List + Stats'!E214</f>
        <v>Super Hot Hatch</v>
      </c>
      <c r="E214" s="25" t="s">
        <v>544</v>
      </c>
      <c r="F214" s="6" t="str">
        <f>'Detailed Car List + Stats'!G214</f>
        <v>USA</v>
      </c>
      <c r="G214" s="19">
        <f>'Detailed Car List + Stats'!H214</f>
        <v>52000</v>
      </c>
      <c r="H214" s="34" t="s">
        <v>62</v>
      </c>
      <c r="I214" s="6" t="str">
        <f>'Detailed Car List + Stats'!T214</f>
        <v>Autoshow</v>
      </c>
      <c r="J214" s="2" t="str">
        <f>'Detailed Car List + Stats'!U214</f>
        <v/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6.5" customHeight="1">
      <c r="A215" s="6" t="str">
        <f>'Detailed Car List + Stats'!B215</f>
        <v>2017</v>
      </c>
      <c r="B215" s="6" t="str">
        <f>'Detailed Car List + Stats'!C215</f>
        <v>Ford</v>
      </c>
      <c r="C215" s="6" t="str">
        <f>'Detailed Car List + Stats'!D215</f>
        <v>Focus RS</v>
      </c>
      <c r="D215" s="6" t="str">
        <f>'Detailed Car List + Stats'!E215</f>
        <v>Super Hot Hatch</v>
      </c>
      <c r="E215" s="25" t="s">
        <v>475</v>
      </c>
      <c r="F215" s="6" t="str">
        <f>'Detailed Car List + Stats'!G215</f>
        <v>USA</v>
      </c>
      <c r="G215" s="19">
        <f>'Detailed Car List + Stats'!H215</f>
        <v>37000</v>
      </c>
      <c r="H215" s="34" t="s">
        <v>62</v>
      </c>
      <c r="I215" s="6" t="str">
        <f>'Detailed Car List + Stats'!T215</f>
        <v>Autoshow, Collection Journal</v>
      </c>
      <c r="J215" s="2" t="str">
        <f>'Detailed Car List + Stats'!U215</f>
        <v/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6.5" customHeight="1">
      <c r="A216" s="6" t="str">
        <f>'Detailed Car List + Stats'!B216</f>
        <v>2022</v>
      </c>
      <c r="B216" s="6" t="str">
        <f>'Detailed Car List + Stats'!C216</f>
        <v>Ford</v>
      </c>
      <c r="C216" s="6" t="str">
        <f>'Detailed Car List + Stats'!D216</f>
        <v>Focus ST</v>
      </c>
      <c r="D216" s="6" t="str">
        <f>'Detailed Car List + Stats'!E216</f>
        <v>Hot Hatch</v>
      </c>
      <c r="E216" s="25" t="s">
        <v>546</v>
      </c>
      <c r="F216" s="6" t="str">
        <f>'Detailed Car List + Stats'!G216</f>
        <v>USA</v>
      </c>
      <c r="G216" s="19">
        <f>'Detailed Car List + Stats'!H216</f>
        <v>34000</v>
      </c>
      <c r="H216" s="20" t="s">
        <v>33</v>
      </c>
      <c r="I216" s="6" t="str">
        <f>'Detailed Car List + Stats'!T216</f>
        <v>Autoshow, Wheelspin</v>
      </c>
      <c r="J216" s="2" t="str">
        <f>'Detailed Car List + Stats'!U216</f>
        <v/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6.5" customHeight="1">
      <c r="A217" s="6" t="str">
        <f>'Detailed Car List + Stats'!B217</f>
        <v>2014</v>
      </c>
      <c r="B217" s="6" t="str">
        <f>'Detailed Car List + Stats'!C217</f>
        <v>Ford</v>
      </c>
      <c r="C217" s="6" t="str">
        <f>'Detailed Car List + Stats'!D217</f>
        <v>FPV Limited Edition Pursuit Ute</v>
      </c>
      <c r="D217" s="6" t="str">
        <f>'Detailed Car List + Stats'!E217</f>
        <v>Utility Heroes</v>
      </c>
      <c r="E217" s="25" t="s">
        <v>548</v>
      </c>
      <c r="F217" s="6" t="str">
        <f>'Detailed Car List + Stats'!G217</f>
        <v>USA</v>
      </c>
      <c r="G217" s="19">
        <f>'Detailed Car List + Stats'!H217</f>
        <v>40000</v>
      </c>
      <c r="H217" s="20" t="s">
        <v>33</v>
      </c>
      <c r="I217" s="6" t="str">
        <f>'Detailed Car List + Stats'!T217</f>
        <v>Autoshow, Wheelspin</v>
      </c>
      <c r="J217" s="2" t="str">
        <f>'Detailed Car List + Stats'!U217</f>
        <v/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6.5" customHeight="1">
      <c r="A218" s="5" t="str">
        <f>'Detailed Car List + Stats'!B218</f>
        <v>2005</v>
      </c>
      <c r="B218" s="5" t="str">
        <f>'Detailed Car List + Stats'!C218</f>
        <v>Ford</v>
      </c>
      <c r="C218" s="5" t="str">
        <f>'Detailed Car List + Stats'!D218</f>
        <v>GT</v>
      </c>
      <c r="D218" s="5" t="str">
        <f>'Detailed Car List + Stats'!E218</f>
        <v>Retro Supercars</v>
      </c>
      <c r="E218" s="36" t="s">
        <v>550</v>
      </c>
      <c r="F218" s="5" t="str">
        <f>'Detailed Car List + Stats'!G218</f>
        <v>USA</v>
      </c>
      <c r="G218" s="9">
        <f>'Detailed Car List + Stats'!H218</f>
        <v>585000</v>
      </c>
      <c r="H218" s="35" t="s">
        <v>255</v>
      </c>
      <c r="I218" s="5" t="str">
        <f>'Detailed Car List + Stats'!T218</f>
        <v>Collection Journal</v>
      </c>
      <c r="J218" s="21" t="str">
        <f>'Detailed Car List + Stats'!U218</f>
        <v/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6.5" customHeight="1">
      <c r="A219" s="6" t="str">
        <f>'Detailed Car List + Stats'!B219</f>
        <v>2017</v>
      </c>
      <c r="B219" s="6" t="str">
        <f>'Detailed Car List + Stats'!C219</f>
        <v>Ford</v>
      </c>
      <c r="C219" s="6" t="str">
        <f>'Detailed Car List + Stats'!D219</f>
        <v>GT</v>
      </c>
      <c r="D219" s="6" t="str">
        <f>'Detailed Car List + Stats'!E219</f>
        <v>Modern Supercars</v>
      </c>
      <c r="E219" s="32" t="s">
        <v>551</v>
      </c>
      <c r="F219" s="6" t="str">
        <f>'Detailed Car List + Stats'!G219</f>
        <v>USA</v>
      </c>
      <c r="G219" s="19">
        <f>'Detailed Car List + Stats'!H219</f>
        <v>500000</v>
      </c>
      <c r="H219" s="34" t="s">
        <v>62</v>
      </c>
      <c r="I219" s="6" t="str">
        <f>'Detailed Car List + Stats'!T219</f>
        <v>Autoshow, Wheelspin</v>
      </c>
      <c r="J219" s="2" t="str">
        <f>'Detailed Car List + Stats'!U219</f>
        <v/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6.5" customHeight="1">
      <c r="A220" s="5" t="str">
        <f>'Detailed Car List + Stats'!B220</f>
        <v>2017</v>
      </c>
      <c r="B220" s="5" t="str">
        <f>'Detailed Car List + Stats'!C220</f>
        <v>Ford</v>
      </c>
      <c r="C220" s="5" t="str">
        <f>'Detailed Car List + Stats'!D220</f>
        <v>M-Sport Fiesta RS</v>
      </c>
      <c r="D220" s="5" t="str">
        <f>'Detailed Car List + Stats'!E220</f>
        <v>Rally Monsters</v>
      </c>
      <c r="E220" s="32" t="s">
        <v>395</v>
      </c>
      <c r="F220" s="5" t="str">
        <f>'Detailed Car List + Stats'!G220</f>
        <v>USA</v>
      </c>
      <c r="G220" s="9" t="str">
        <f>'Detailed Car List + Stats'!H220</f>
        <v/>
      </c>
      <c r="H220" s="48"/>
      <c r="I220" s="5" t="str">
        <f>'Detailed Car List + Stats'!T220</f>
        <v>Wheelspin, Seasonal</v>
      </c>
      <c r="J220" s="21" t="str">
        <f>'Detailed Car List + Stats'!U220</f>
        <v/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6.5" customHeight="1">
      <c r="A221" s="6" t="str">
        <f>'Detailed Car List + Stats'!B221</f>
        <v>1969</v>
      </c>
      <c r="B221" s="6" t="str">
        <f>'Detailed Car List + Stats'!C221</f>
        <v>Ford</v>
      </c>
      <c r="C221" s="6" t="str">
        <f>'Detailed Car List + Stats'!D221</f>
        <v>Mustang Boss 302</v>
      </c>
      <c r="D221" s="6" t="str">
        <f>'Detailed Car List + Stats'!E221</f>
        <v>Classic Muscle</v>
      </c>
      <c r="E221" s="8" t="s">
        <v>554</v>
      </c>
      <c r="F221" s="6" t="str">
        <f>'Detailed Car List + Stats'!G221</f>
        <v>USA</v>
      </c>
      <c r="G221" s="19">
        <f>'Detailed Car List + Stats'!H221</f>
        <v>75000</v>
      </c>
      <c r="H221" s="10" t="s">
        <v>27</v>
      </c>
      <c r="I221" s="6" t="str">
        <f>'Detailed Car List + Stats'!T221</f>
        <v>Autoshow, Wheelspin</v>
      </c>
      <c r="J221" s="2" t="str">
        <f>'Detailed Car List + Stats'!U221</f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6.5" customHeight="1">
      <c r="A222" s="6" t="str">
        <f>'Detailed Car List + Stats'!B222</f>
        <v>2024</v>
      </c>
      <c r="B222" s="6" t="str">
        <f>'Detailed Car List + Stats'!C222</f>
        <v>Ford</v>
      </c>
      <c r="C222" s="6" t="str">
        <f>'Detailed Car List + Stats'!D222</f>
        <v>Mustang Dark Horse</v>
      </c>
      <c r="D222" s="6" t="str">
        <f>'Detailed Car List + Stats'!E222</f>
        <v>Modern Muscle</v>
      </c>
      <c r="E222" s="36" t="s">
        <v>556</v>
      </c>
      <c r="F222" s="6" t="str">
        <f>'Detailed Car List + Stats'!G222</f>
        <v>USA</v>
      </c>
      <c r="G222" s="19">
        <f>'Detailed Car List + Stats'!H222</f>
        <v>59000</v>
      </c>
      <c r="H222" s="34" t="s">
        <v>62</v>
      </c>
      <c r="I222" s="6" t="str">
        <f>'Detailed Car List + Stats'!T222</f>
        <v>Autoshow, Collection Journal</v>
      </c>
      <c r="J222" s="2" t="str">
        <f>'Detailed Car List + Stats'!U222</f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6.5" customHeight="1">
      <c r="A223" s="6" t="str">
        <f>'Detailed Car List + Stats'!B223</f>
        <v>2024</v>
      </c>
      <c r="B223" s="6" t="str">
        <f>'Detailed Car List + Stats'!C223</f>
        <v>Ford</v>
      </c>
      <c r="C223" s="6" t="str">
        <f>'Detailed Car List + Stats'!D223</f>
        <v>Mustang GT</v>
      </c>
      <c r="D223" s="6" t="str">
        <f>'Detailed Car List + Stats'!E223</f>
        <v>Modern Muscle</v>
      </c>
      <c r="E223" s="36" t="s">
        <v>422</v>
      </c>
      <c r="F223" s="6" t="str">
        <f>'Detailed Car List + Stats'!G223</f>
        <v>USA</v>
      </c>
      <c r="G223" s="19">
        <f>'Detailed Car List + Stats'!H223</f>
        <v>45000</v>
      </c>
      <c r="H223" s="34" t="s">
        <v>62</v>
      </c>
      <c r="I223" s="6" t="str">
        <f>'Detailed Car List + Stats'!T223</f>
        <v>Autoshow, Wheelspin</v>
      </c>
      <c r="J223" s="2" t="str">
        <f>'Detailed Car List + Stats'!U223</f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6.5" customHeight="1">
      <c r="A224" s="6" t="str">
        <f>'Detailed Car List + Stats'!B224</f>
        <v>1968</v>
      </c>
      <c r="B224" s="6" t="str">
        <f>'Detailed Car List + Stats'!C224</f>
        <v>Ford</v>
      </c>
      <c r="C224" s="6" t="str">
        <f>'Detailed Car List + Stats'!D224</f>
        <v>Mustang GT 2+2 Fastback</v>
      </c>
      <c r="D224" s="6" t="str">
        <f>'Detailed Car List + Stats'!E224</f>
        <v>Classic Muscle</v>
      </c>
      <c r="E224" s="17" t="s">
        <v>524</v>
      </c>
      <c r="F224" s="6" t="str">
        <f>'Detailed Car List + Stats'!G224</f>
        <v>USA</v>
      </c>
      <c r="G224" s="19">
        <f>'Detailed Car List + Stats'!H224</f>
        <v>119000</v>
      </c>
      <c r="H224" s="35" t="s">
        <v>76</v>
      </c>
      <c r="I224" s="6" t="str">
        <f>'Detailed Car List + Stats'!T224</f>
        <v>Autoshow, Wheelspin</v>
      </c>
      <c r="J224" s="2" t="str">
        <f>'Detailed Car List + Stats'!U224</f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6.5" customHeight="1">
      <c r="A225" s="5" t="str">
        <f>'Detailed Car List + Stats'!B225</f>
        <v>1968</v>
      </c>
      <c r="B225" s="5" t="str">
        <f>'Detailed Car List + Stats'!C225</f>
        <v>Ford</v>
      </c>
      <c r="C225" s="5" t="str">
        <f>'Detailed Car List + Stats'!D225</f>
        <v>Mustang GT 2+2 Fastback Forza Edition</v>
      </c>
      <c r="D225" s="5" t="str">
        <f>'Detailed Car List + Stats'!E225</f>
        <v>Drift Cars</v>
      </c>
      <c r="E225" s="36" t="s">
        <v>262</v>
      </c>
      <c r="F225" s="5" t="str">
        <f>'Detailed Car List + Stats'!G225</f>
        <v>USA</v>
      </c>
      <c r="G225" s="9" t="str">
        <f>'Detailed Car List + Stats'!H225</f>
        <v/>
      </c>
      <c r="H225" s="48"/>
      <c r="I225" s="5" t="str">
        <f>'Detailed Car List + Stats'!T225</f>
        <v>Wheelspin, Seasonal</v>
      </c>
      <c r="J225" s="21" t="str">
        <f>'Detailed Car List + Stats'!U225</f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6.5" customHeight="1">
      <c r="A226" s="6" t="str">
        <f>'Detailed Car List + Stats'!B226</f>
        <v>1965</v>
      </c>
      <c r="B226" s="6" t="str">
        <f>'Detailed Car List + Stats'!C226</f>
        <v>Ford</v>
      </c>
      <c r="C226" s="6" t="str">
        <f>'Detailed Car List + Stats'!D226</f>
        <v>Mustang GT Coupe</v>
      </c>
      <c r="D226" s="6" t="str">
        <f>'Detailed Car List + Stats'!E226</f>
        <v>Classic Muscle</v>
      </c>
      <c r="E226" s="17" t="s">
        <v>561</v>
      </c>
      <c r="F226" s="6" t="str">
        <f>'Detailed Car List + Stats'!G226</f>
        <v>USA</v>
      </c>
      <c r="G226" s="19">
        <f>'Detailed Car List + Stats'!H226</f>
        <v>52000</v>
      </c>
      <c r="H226" s="34" t="s">
        <v>62</v>
      </c>
      <c r="I226" s="6" t="str">
        <f>'Detailed Car List + Stats'!T226</f>
        <v>Autoshow</v>
      </c>
      <c r="J226" s="2" t="str">
        <f>'Detailed Car List + Stats'!U226</f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6.5" customHeight="1">
      <c r="A227" s="6" t="str">
        <f>'Detailed Car List + Stats'!B227</f>
        <v>2018</v>
      </c>
      <c r="B227" s="6" t="str">
        <f>'Detailed Car List + Stats'!C227</f>
        <v>Ford</v>
      </c>
      <c r="C227" s="6" t="str">
        <f>'Detailed Car List + Stats'!D227</f>
        <v>Mustang RTR Spec 5</v>
      </c>
      <c r="D227" s="6" t="str">
        <f>'Detailed Car List + Stats'!E227</f>
        <v>Modern Muscle</v>
      </c>
      <c r="E227" s="36" t="s">
        <v>311</v>
      </c>
      <c r="F227" s="6" t="str">
        <f>'Detailed Car List + Stats'!G227</f>
        <v>USA</v>
      </c>
      <c r="G227" s="19">
        <f>'Detailed Car List + Stats'!H227</f>
        <v>35000</v>
      </c>
      <c r="H227" s="10" t="s">
        <v>27</v>
      </c>
      <c r="I227" s="6" t="str">
        <f>'Detailed Car List + Stats'!T227</f>
        <v>Autoshow, Wheelspin</v>
      </c>
      <c r="J227" s="2" t="str">
        <f>'Detailed Car List + Stats'!U227</f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6.5" customHeight="1">
      <c r="A228" s="6" t="str">
        <f>'Detailed Car List + Stats'!B228</f>
        <v>2016</v>
      </c>
      <c r="B228" s="6" t="str">
        <f>'Detailed Car List + Stats'!C228</f>
        <v>Ford</v>
      </c>
      <c r="C228" s="6" t="str">
        <f>'Detailed Car List + Stats'!D228</f>
        <v>Mustang Shelby GT350R</v>
      </c>
      <c r="D228" s="6" t="str">
        <f>'Detailed Car List + Stats'!E228</f>
        <v>Track Toys</v>
      </c>
      <c r="E228" s="32" t="s">
        <v>452</v>
      </c>
      <c r="F228" s="6" t="str">
        <f>'Detailed Car List + Stats'!G228</f>
        <v>USA</v>
      </c>
      <c r="G228" s="19">
        <f>'Detailed Car List + Stats'!H228</f>
        <v>88000</v>
      </c>
      <c r="H228" s="10" t="s">
        <v>27</v>
      </c>
      <c r="I228" s="6" t="str">
        <f>'Detailed Car List + Stats'!T228</f>
        <v>Autoshow, Wheelspin</v>
      </c>
      <c r="J228" s="2" t="str">
        <f>'Detailed Car List + Stats'!U228</f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6.5" customHeight="1">
      <c r="A229" s="6" t="str">
        <f>'Detailed Car List + Stats'!B229</f>
        <v>2013</v>
      </c>
      <c r="B229" s="6" t="str">
        <f>'Detailed Car List + Stats'!C229</f>
        <v>Ford</v>
      </c>
      <c r="C229" s="6" t="str">
        <f>'Detailed Car List + Stats'!D229</f>
        <v>Mustang Shelby GT500</v>
      </c>
      <c r="D229" s="6" t="str">
        <f>'Detailed Car List + Stats'!E229</f>
        <v>Modern Muscle</v>
      </c>
      <c r="E229" s="36" t="s">
        <v>258</v>
      </c>
      <c r="F229" s="6" t="str">
        <f>'Detailed Car List + Stats'!G229</f>
        <v>USA</v>
      </c>
      <c r="G229" s="19">
        <f>'Detailed Car List + Stats'!H229</f>
        <v>60000</v>
      </c>
      <c r="H229" s="10" t="s">
        <v>27</v>
      </c>
      <c r="I229" s="6" t="str">
        <f>'Detailed Car List + Stats'!T229</f>
        <v>Autoshow, Wheelspin</v>
      </c>
      <c r="J229" s="2" t="str">
        <f>'Detailed Car List + Stats'!U229</f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6.5" customHeight="1">
      <c r="A230" s="6" t="str">
        <f>'Detailed Car List + Stats'!B230</f>
        <v>2020</v>
      </c>
      <c r="B230" s="6" t="str">
        <f>'Detailed Car List + Stats'!C230</f>
        <v>Ford</v>
      </c>
      <c r="C230" s="6" t="str">
        <f>'Detailed Car List + Stats'!D230</f>
        <v>Mustang Shelby GT500</v>
      </c>
      <c r="D230" s="6" t="str">
        <f>'Detailed Car List + Stats'!E230</f>
        <v>Modern Muscle</v>
      </c>
      <c r="E230" s="32" t="s">
        <v>61</v>
      </c>
      <c r="F230" s="6" t="str">
        <f>'Detailed Car List + Stats'!G230</f>
        <v>USA</v>
      </c>
      <c r="G230" s="19">
        <f>'Detailed Car List + Stats'!H230</f>
        <v>125000</v>
      </c>
      <c r="H230" s="10" t="s">
        <v>27</v>
      </c>
      <c r="I230" s="6" t="str">
        <f>'Detailed Car List + Stats'!T230</f>
        <v>Autoshow, Wheelspin</v>
      </c>
      <c r="J230" s="2" t="str">
        <f>'Detailed Car List + Stats'!U230</f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6.5" customHeight="1">
      <c r="A231" s="6" t="str">
        <f>'Detailed Car List + Stats'!B231</f>
        <v>1993</v>
      </c>
      <c r="B231" s="6" t="str">
        <f>'Detailed Car List + Stats'!C231</f>
        <v>Ford</v>
      </c>
      <c r="C231" s="6" t="str">
        <f>'Detailed Car List + Stats'!D231</f>
        <v>Mustang SVT Cobra R</v>
      </c>
      <c r="D231" s="6" t="str">
        <f>'Detailed Car List + Stats'!E231</f>
        <v>Retro Muscle</v>
      </c>
      <c r="E231" s="8" t="s">
        <v>566</v>
      </c>
      <c r="F231" s="6" t="str">
        <f>'Detailed Car List + Stats'!G231</f>
        <v>USA</v>
      </c>
      <c r="G231" s="19">
        <f>'Detailed Car List + Stats'!H231</f>
        <v>84000</v>
      </c>
      <c r="H231" s="20" t="s">
        <v>33</v>
      </c>
      <c r="I231" s="6" t="str">
        <f>'Detailed Car List + Stats'!T231</f>
        <v>Autoshow, Wheelspin</v>
      </c>
      <c r="J231" s="2" t="str">
        <f>'Detailed Car List + Stats'!U231</f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6.5" customHeight="1">
      <c r="A232" s="6" t="str">
        <f>'Detailed Car List + Stats'!B232</f>
        <v>2000</v>
      </c>
      <c r="B232" s="6" t="str">
        <f>'Detailed Car List + Stats'!C232</f>
        <v>Ford</v>
      </c>
      <c r="C232" s="6" t="str">
        <f>'Detailed Car List + Stats'!D232</f>
        <v>Mustang SVT Cobra R</v>
      </c>
      <c r="D232" s="6" t="str">
        <f>'Detailed Car List + Stats'!E232</f>
        <v>Retro Muscle</v>
      </c>
      <c r="E232" s="25" t="s">
        <v>568</v>
      </c>
      <c r="F232" s="6" t="str">
        <f>'Detailed Car List + Stats'!G232</f>
        <v>USA</v>
      </c>
      <c r="G232" s="19">
        <f>'Detailed Car List + Stats'!H232</f>
        <v>153000</v>
      </c>
      <c r="H232" s="20" t="s">
        <v>33</v>
      </c>
      <c r="I232" s="6" t="str">
        <f>'Detailed Car List + Stats'!T232</f>
        <v>Autoshow, Wheelspin</v>
      </c>
      <c r="J232" s="2" t="str">
        <f>'Detailed Car List + Stats'!U232</f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6.5" customHeight="1">
      <c r="A233" s="6" t="str">
        <f>'Detailed Car List + Stats'!B233</f>
        <v>1999</v>
      </c>
      <c r="B233" s="6" t="str">
        <f>'Detailed Car List + Stats'!C233</f>
        <v>Ford</v>
      </c>
      <c r="C233" s="6" t="str">
        <f>'Detailed Car List + Stats'!D233</f>
        <v>Racing Puma</v>
      </c>
      <c r="D233" s="6" t="str">
        <f>'Detailed Car List + Stats'!E233</f>
        <v>Retro Rally</v>
      </c>
      <c r="E233" s="8" t="s">
        <v>570</v>
      </c>
      <c r="F233" s="6" t="str">
        <f>'Detailed Car List + Stats'!G233</f>
        <v>USA</v>
      </c>
      <c r="G233" s="19">
        <f>'Detailed Car List + Stats'!H233</f>
        <v>30000</v>
      </c>
      <c r="H233" s="10" t="s">
        <v>27</v>
      </c>
      <c r="I233" s="6" t="str">
        <f>'Detailed Car List + Stats'!T233</f>
        <v>Autoshow, Wheelspin</v>
      </c>
      <c r="J233" s="2" t="str">
        <f>'Detailed Car List + Stats'!U233</f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6.5" customHeight="1">
      <c r="A234" s="5" t="str">
        <f>'Detailed Car List + Stats'!B234</f>
        <v>2014</v>
      </c>
      <c r="B234" s="5" t="str">
        <f>'Detailed Car List + Stats'!C234</f>
        <v>Ford</v>
      </c>
      <c r="C234" s="5" t="str">
        <f>'Detailed Car List + Stats'!D234</f>
        <v>Ranger T6 Rally Raid</v>
      </c>
      <c r="D234" s="5" t="str">
        <f>'Detailed Car List + Stats'!E234</f>
        <v>Offroad</v>
      </c>
      <c r="E234" s="25" t="s">
        <v>572</v>
      </c>
      <c r="F234" s="5" t="str">
        <f>'Detailed Car List + Stats'!G234</f>
        <v>USA</v>
      </c>
      <c r="G234" s="9" t="str">
        <f>'Detailed Car List + Stats'!H234</f>
        <v/>
      </c>
      <c r="H234" s="48"/>
      <c r="I234" s="5" t="str">
        <f>'Detailed Car List + Stats'!T234</f>
        <v>Wheelspin, Seasonal</v>
      </c>
      <c r="J234" s="21" t="str">
        <f>'Detailed Car List + Stats'!U234</f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6.5" customHeight="1">
      <c r="A235" s="5" t="str">
        <f>'Detailed Car List + Stats'!B235</f>
        <v>1985</v>
      </c>
      <c r="B235" s="5" t="str">
        <f>'Detailed Car List + Stats'!C235</f>
        <v>Ford</v>
      </c>
      <c r="C235" s="5" t="str">
        <f>'Detailed Car List + Stats'!D235</f>
        <v>RS200 Evolution</v>
      </c>
      <c r="D235" s="5" t="str">
        <f>'Detailed Car List + Stats'!E235</f>
        <v>Rally Monsters</v>
      </c>
      <c r="E235" s="32" t="s">
        <v>575</v>
      </c>
      <c r="F235" s="5" t="str">
        <f>'Detailed Car List + Stats'!G235</f>
        <v>USA</v>
      </c>
      <c r="G235" s="9">
        <f>'Detailed Car List + Stats'!H235</f>
        <v>420000</v>
      </c>
      <c r="H235" s="34" t="s">
        <v>62</v>
      </c>
      <c r="I235" s="5" t="str">
        <f>'Detailed Car List + Stats'!T235</f>
        <v>Seasonal</v>
      </c>
      <c r="J235" s="21" t="str">
        <f>'Detailed Car List + Stats'!U235</f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6.5" customHeight="1">
      <c r="A236" s="5" t="str">
        <f>'Detailed Car List + Stats'!B236</f>
        <v>1987</v>
      </c>
      <c r="B236" s="5" t="str">
        <f>'Detailed Car List + Stats'!C236</f>
        <v>Ford</v>
      </c>
      <c r="C236" s="5" t="str">
        <f>'Detailed Car List + Stats'!D236</f>
        <v>Sierra Cosworth RS500</v>
      </c>
      <c r="D236" s="5" t="str">
        <f>'Detailed Car List + Stats'!E236</f>
        <v>Retro Super Saloons</v>
      </c>
      <c r="E236" s="8" t="s">
        <v>51</v>
      </c>
      <c r="F236" s="5" t="str">
        <f>'Detailed Car List + Stats'!G236</f>
        <v>USA</v>
      </c>
      <c r="G236" s="9" t="str">
        <f>'Detailed Car List + Stats'!H236</f>
        <v/>
      </c>
      <c r="H236" s="48"/>
      <c r="I236" s="5" t="str">
        <f>'Detailed Car List + Stats'!T236</f>
        <v>Collection Journal</v>
      </c>
      <c r="J236" s="21" t="str">
        <f>'Detailed Car List + Stats'!U236</f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6.5" customHeight="1">
      <c r="A237" s="6" t="str">
        <f>'Detailed Car List + Stats'!B237</f>
        <v>2020</v>
      </c>
      <c r="B237" s="6" t="str">
        <f>'Detailed Car List + Stats'!C237</f>
        <v>Ford</v>
      </c>
      <c r="C237" s="6" t="str">
        <f>'Detailed Car List + Stats'!D237</f>
        <v>Super Duty F-450 DRW Platinum</v>
      </c>
      <c r="D237" s="6" t="str">
        <f>'Detailed Car List + Stats'!E237</f>
        <v>Pickups &amp; 4x4s</v>
      </c>
      <c r="E237" s="17" t="s">
        <v>100</v>
      </c>
      <c r="F237" s="6" t="str">
        <f>'Detailed Car List + Stats'!G237</f>
        <v>USA</v>
      </c>
      <c r="G237" s="19">
        <f>'Detailed Car List + Stats'!H237</f>
        <v>65000</v>
      </c>
      <c r="H237" s="20" t="s">
        <v>33</v>
      </c>
      <c r="I237" s="6" t="str">
        <f>'Detailed Car List + Stats'!T237</f>
        <v>Autoshow, Wheelspin</v>
      </c>
      <c r="J237" s="2" t="str">
        <f>'Detailed Car List + Stats'!U237</f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6.5" customHeight="1">
      <c r="A238" s="5" t="str">
        <f>'Detailed Car List + Stats'!B238</f>
        <v>2020</v>
      </c>
      <c r="B238" s="5" t="str">
        <f>'Detailed Car List + Stats'!C238</f>
        <v>Ford</v>
      </c>
      <c r="C238" s="5" t="str">
        <f>'Detailed Car List + Stats'!D238</f>
        <v>Super Duty F-450 DRW Platinum Forza Edition</v>
      </c>
      <c r="D238" s="5" t="str">
        <f>'Detailed Car List + Stats'!E238</f>
        <v>Pickups &amp; 4x4s</v>
      </c>
      <c r="E238" s="36" t="s">
        <v>262</v>
      </c>
      <c r="F238" s="5" t="str">
        <f>'Detailed Car List + Stats'!G238</f>
        <v>USA</v>
      </c>
      <c r="G238" s="9" t="str">
        <f>'Detailed Car List + Stats'!H238</f>
        <v/>
      </c>
      <c r="H238" s="48"/>
      <c r="I238" s="5" t="str">
        <f>'Detailed Car List + Stats'!T238</f>
        <v>Wheelspin, Seasonal</v>
      </c>
      <c r="J238" s="21" t="str">
        <f>'Detailed Car List + Stats'!U238</f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6.5" customHeight="1">
      <c r="A239" s="6" t="str">
        <f>'Detailed Car List + Stats'!B239</f>
        <v>1994</v>
      </c>
      <c r="B239" s="6" t="str">
        <f>'Detailed Car List + Stats'!C239</f>
        <v>Ford</v>
      </c>
      <c r="C239" s="6" t="str">
        <f>'Detailed Car List + Stats'!D239</f>
        <v>Supervan 3</v>
      </c>
      <c r="D239" s="6" t="str">
        <f>'Detailed Car List + Stats'!E239</f>
        <v>Track Toys</v>
      </c>
      <c r="E239" s="32" t="s">
        <v>580</v>
      </c>
      <c r="F239" s="6" t="str">
        <f>'Detailed Car List + Stats'!G239</f>
        <v>USA</v>
      </c>
      <c r="G239" s="19">
        <f>'Detailed Car List + Stats'!H239</f>
        <v>250000</v>
      </c>
      <c r="H239" s="34" t="s">
        <v>62</v>
      </c>
      <c r="I239" s="6" t="str">
        <f>'Detailed Car List + Stats'!T239</f>
        <v>Autoshow, Wheelspin</v>
      </c>
      <c r="J239" s="2" t="str">
        <f>'Detailed Car List + Stats'!U239</f>
        <v/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6.5" customHeight="1">
      <c r="A240" s="5" t="str">
        <f>'Detailed Car List + Stats'!B240</f>
        <v>2022</v>
      </c>
      <c r="B240" s="5" t="str">
        <f>'Detailed Car List + Stats'!C240</f>
        <v>Ford</v>
      </c>
      <c r="C240" s="5" t="str">
        <f>'Detailed Car List + Stats'!D240</f>
        <v>Supervan 4</v>
      </c>
      <c r="D240" s="5" t="str">
        <f>'Detailed Car List + Stats'!E240</f>
        <v>Extreme Track Toys</v>
      </c>
      <c r="E240" s="49" t="s">
        <v>582</v>
      </c>
      <c r="F240" s="5" t="str">
        <f>'Detailed Car List + Stats'!G240</f>
        <v>USA</v>
      </c>
      <c r="G240" s="9" t="str">
        <f>'Detailed Car List + Stats'!H240</f>
        <v/>
      </c>
      <c r="H240" s="48"/>
      <c r="I240" s="5" t="str">
        <f>'Detailed Car List + Stats'!T240</f>
        <v>Collection Journal, Seasonal</v>
      </c>
      <c r="J240" s="21" t="str">
        <f>'Detailed Car List + Stats'!U240</f>
        <v/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6.5" customHeight="1">
      <c r="A241" s="37" t="str">
        <f>'Detailed Car List + Stats'!B241</f>
        <v>1957</v>
      </c>
      <c r="B241" s="37" t="str">
        <f>'Detailed Car List + Stats'!C241</f>
        <v>Ford</v>
      </c>
      <c r="C241" s="37" t="str">
        <f>'Detailed Car List + Stats'!D241</f>
        <v>Thunderbird</v>
      </c>
      <c r="D241" s="37" t="str">
        <f>'Detailed Car List + Stats'!E241</f>
        <v>Rods &amp; Customs</v>
      </c>
      <c r="E241" s="17" t="s">
        <v>584</v>
      </c>
      <c r="F241" s="37" t="str">
        <f>'Detailed Car List + Stats'!G241</f>
        <v>USA</v>
      </c>
      <c r="G241" s="38" t="str">
        <f>'Detailed Car List + Stats'!H241</f>
        <v/>
      </c>
      <c r="H241" s="19"/>
      <c r="I241" s="37" t="str">
        <f>'Detailed Car List + Stats'!T241</f>
        <v>Autoshow DLC</v>
      </c>
      <c r="J241" s="37" t="str">
        <f>'Detailed Car List + Stats'!U241</f>
        <v>Car Pass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6.5" customHeight="1">
      <c r="A242" s="6" t="str">
        <f>'Detailed Car List + Stats'!B242</f>
        <v>2011</v>
      </c>
      <c r="B242" s="6" t="str">
        <f>'Detailed Car List + Stats'!C242</f>
        <v>Ford</v>
      </c>
      <c r="C242" s="6" t="str">
        <f>'Detailed Car List + Stats'!D242</f>
        <v>Transit SuperSportVan</v>
      </c>
      <c r="D242" s="6" t="str">
        <f>'Detailed Car List + Stats'!E242</f>
        <v>Utility Heroes</v>
      </c>
      <c r="E242" s="17" t="s">
        <v>586</v>
      </c>
      <c r="F242" s="6" t="str">
        <f>'Detailed Car List + Stats'!G242</f>
        <v>USA</v>
      </c>
      <c r="G242" s="19">
        <f>'Detailed Car List + Stats'!H242</f>
        <v>42000</v>
      </c>
      <c r="H242" s="10" t="s">
        <v>27</v>
      </c>
      <c r="I242" s="6" t="str">
        <f>'Detailed Car List + Stats'!T242</f>
        <v>Autoshow, Wheelspin</v>
      </c>
      <c r="J242" s="2" t="str">
        <f>'Detailed Car List + Stats'!U242</f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6.5" customHeight="1">
      <c r="A243" s="6" t="str">
        <f>'Detailed Car List + Stats'!B243</f>
        <v>1973</v>
      </c>
      <c r="B243" s="6" t="str">
        <f>'Detailed Car List + Stats'!C243</f>
        <v>Ford</v>
      </c>
      <c r="C243" s="6" t="str">
        <f>'Detailed Car List + Stats'!D243</f>
        <v>XB Falcon GT</v>
      </c>
      <c r="D243" s="6" t="str">
        <f>'Detailed Car List + Stats'!E243</f>
        <v>Classic Muscle</v>
      </c>
      <c r="E243" s="8" t="s">
        <v>588</v>
      </c>
      <c r="F243" s="6" t="str">
        <f>'Detailed Car List + Stats'!G243</f>
        <v>USA</v>
      </c>
      <c r="G243" s="19">
        <f>'Detailed Car List + Stats'!H243</f>
        <v>218000</v>
      </c>
      <c r="H243" s="10" t="s">
        <v>27</v>
      </c>
      <c r="I243" s="6" t="str">
        <f>'Detailed Car List + Stats'!T243</f>
        <v>Autoshow, Wheelspin</v>
      </c>
      <c r="J243" s="2" t="str">
        <f>'Detailed Car List + Stats'!U243</f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6.5" customHeight="1">
      <c r="A244" s="6" t="str">
        <f>'Detailed Car List + Stats'!B244</f>
        <v>2007</v>
      </c>
      <c r="B244" s="6" t="str">
        <f>'Detailed Car List + Stats'!C244</f>
        <v>Formula Drift</v>
      </c>
      <c r="C244" s="6" t="str">
        <f>'Detailed Car List + Stats'!D244</f>
        <v>#117 599 GTB Fiorano</v>
      </c>
      <c r="D244" s="6" t="str">
        <f>'Detailed Car List + Stats'!E244</f>
        <v>Drift Cars</v>
      </c>
      <c r="E244" s="32" t="s">
        <v>591</v>
      </c>
      <c r="F244" s="6" t="str">
        <f>'Detailed Car List + Stats'!G244</f>
        <v>USA</v>
      </c>
      <c r="G244" s="19">
        <f>'Detailed Car List + Stats'!H244</f>
        <v>525000</v>
      </c>
      <c r="H244" s="34" t="s">
        <v>62</v>
      </c>
      <c r="I244" s="6" t="str">
        <f>'Detailed Car List + Stats'!T244</f>
        <v>Autoshow, Collection Journal</v>
      </c>
      <c r="J244" s="2" t="str">
        <f>'Detailed Car List + Stats'!U244</f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6.5" customHeight="1">
      <c r="A245" s="5" t="str">
        <f>'Detailed Car List + Stats'!B245</f>
        <v>2015</v>
      </c>
      <c r="B245" s="5" t="str">
        <f>'Detailed Car List + Stats'!C245</f>
        <v>Formula Drift</v>
      </c>
      <c r="C245" s="5" t="str">
        <f>'Detailed Car List + Stats'!D245</f>
        <v>#13 Ford Mustang</v>
      </c>
      <c r="D245" s="5" t="str">
        <f>'Detailed Car List + Stats'!E245</f>
        <v>Drift Cars</v>
      </c>
      <c r="E245" s="32" t="s">
        <v>593</v>
      </c>
      <c r="F245" s="5" t="str">
        <f>'Detailed Car List + Stats'!G245</f>
        <v>USA</v>
      </c>
      <c r="G245" s="9">
        <f>'Detailed Car List + Stats'!H245</f>
        <v>250000</v>
      </c>
      <c r="H245" s="34" t="s">
        <v>62</v>
      </c>
      <c r="I245" s="5" t="str">
        <f>'Detailed Car List + Stats'!T245</f>
        <v>Wheelspin, Seasonal</v>
      </c>
      <c r="J245" s="21" t="str">
        <f>'Detailed Car List + Stats'!U245</f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6.5" customHeight="1">
      <c r="A246" s="6" t="str">
        <f>'Detailed Car List + Stats'!B246</f>
        <v>2020</v>
      </c>
      <c r="B246" s="6" t="str">
        <f>'Detailed Car List + Stats'!C246</f>
        <v>Formula Drift</v>
      </c>
      <c r="C246" s="6" t="str">
        <f>'Detailed Car List + Stats'!D246</f>
        <v>#151 Toyota GR Supra</v>
      </c>
      <c r="D246" s="6" t="str">
        <f>'Detailed Car List + Stats'!E246</f>
        <v>Drift Cars</v>
      </c>
      <c r="E246" s="32" t="s">
        <v>595</v>
      </c>
      <c r="F246" s="6" t="str">
        <f>'Detailed Car List + Stats'!G246</f>
        <v>USA</v>
      </c>
      <c r="G246" s="19">
        <f>'Detailed Car List + Stats'!H246</f>
        <v>185000</v>
      </c>
      <c r="H246" s="34" t="s">
        <v>62</v>
      </c>
      <c r="I246" s="6" t="str">
        <f>'Detailed Car List + Stats'!T246</f>
        <v>Autoshow, Wheelspin</v>
      </c>
      <c r="J246" s="2" t="str">
        <f>'Detailed Car List + Stats'!U246</f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6.5" customHeight="1">
      <c r="A247" s="6" t="str">
        <f>'Detailed Car List + Stats'!B247</f>
        <v>1995</v>
      </c>
      <c r="B247" s="6" t="str">
        <f>'Detailed Car List + Stats'!C247</f>
        <v>Formula Drift</v>
      </c>
      <c r="C247" s="6" t="str">
        <f>'Detailed Car List + Stats'!D247</f>
        <v>#34 Toyota Supra Mk IV</v>
      </c>
      <c r="D247" s="6" t="str">
        <f>'Detailed Car List + Stats'!E247</f>
        <v>Drift Cars</v>
      </c>
      <c r="E247" s="32" t="s">
        <v>597</v>
      </c>
      <c r="F247" s="6" t="str">
        <f>'Detailed Car List + Stats'!G247</f>
        <v>USA</v>
      </c>
      <c r="G247" s="19">
        <f>'Detailed Car List + Stats'!H247</f>
        <v>150000</v>
      </c>
      <c r="H247" s="34" t="s">
        <v>62</v>
      </c>
      <c r="I247" s="6" t="str">
        <f>'Detailed Car List + Stats'!T247</f>
        <v>Autoshow, Wheelspin</v>
      </c>
      <c r="J247" s="2" t="str">
        <f>'Detailed Car List + Stats'!U247</f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6.5" customHeight="1">
      <c r="A248" s="6" t="str">
        <f>'Detailed Car List + Stats'!B248</f>
        <v>2019</v>
      </c>
      <c r="B248" s="6" t="str">
        <f>'Detailed Car List + Stats'!C248</f>
        <v>Formula Drift</v>
      </c>
      <c r="C248" s="6" t="str">
        <f>'Detailed Car List + Stats'!D248</f>
        <v>#411 Toyota Corolla Hatchback</v>
      </c>
      <c r="D248" s="6" t="str">
        <f>'Detailed Car List + Stats'!E248</f>
        <v>Drift Cars</v>
      </c>
      <c r="E248" s="32" t="s">
        <v>599</v>
      </c>
      <c r="F248" s="6" t="str">
        <f>'Detailed Car List + Stats'!G248</f>
        <v>USA</v>
      </c>
      <c r="G248" s="19">
        <f>'Detailed Car List + Stats'!H248</f>
        <v>150000</v>
      </c>
      <c r="H248" s="34" t="s">
        <v>62</v>
      </c>
      <c r="I248" s="6" t="str">
        <f>'Detailed Car List + Stats'!T248</f>
        <v>Autoshow, Wheelspin</v>
      </c>
      <c r="J248" s="2" t="str">
        <f>'Detailed Car List + Stats'!U248</f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6.5" customHeight="1">
      <c r="A249" s="5" t="str">
        <f>'Detailed Car List + Stats'!B249</f>
        <v>2006</v>
      </c>
      <c r="B249" s="5" t="str">
        <f>'Detailed Car List + Stats'!C249</f>
        <v>Formula Drift</v>
      </c>
      <c r="C249" s="5" t="str">
        <f>'Detailed Car List + Stats'!D249</f>
        <v>#43 Dodge Viper SRT-10 ACR</v>
      </c>
      <c r="D249" s="5" t="str">
        <f>'Detailed Car List + Stats'!E249</f>
        <v>Drift Cars</v>
      </c>
      <c r="E249" s="32" t="s">
        <v>601</v>
      </c>
      <c r="F249" s="5" t="str">
        <f>'Detailed Car List + Stats'!G249</f>
        <v>USA</v>
      </c>
      <c r="G249" s="9" t="str">
        <f>'Detailed Car List + Stats'!H249</f>
        <v/>
      </c>
      <c r="H249" s="48"/>
      <c r="I249" s="5" t="str">
        <f>'Detailed Car List + Stats'!T249</f>
        <v>Wheelspin, Seasonal</v>
      </c>
      <c r="J249" s="21" t="str">
        <f>'Detailed Car List + Stats'!U249</f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6.5" customHeight="1">
      <c r="A250" s="6" t="str">
        <f>'Detailed Car List + Stats'!B250</f>
        <v>2016</v>
      </c>
      <c r="B250" s="6" t="str">
        <f>'Detailed Car List + Stats'!C250</f>
        <v>Formula Drift</v>
      </c>
      <c r="C250" s="6" t="str">
        <f>'Detailed Car List + Stats'!D250</f>
        <v>#530 HSV Maloo GEN-F</v>
      </c>
      <c r="D250" s="6" t="str">
        <f>'Detailed Car List + Stats'!E250</f>
        <v>Drift Cars</v>
      </c>
      <c r="E250" s="32" t="s">
        <v>575</v>
      </c>
      <c r="F250" s="6" t="str">
        <f>'Detailed Car List + Stats'!G250</f>
        <v>USA</v>
      </c>
      <c r="G250" s="19">
        <f>'Detailed Car List + Stats'!H250</f>
        <v>150000</v>
      </c>
      <c r="H250" s="34" t="s">
        <v>62</v>
      </c>
      <c r="I250" s="6" t="str">
        <f>'Detailed Car List + Stats'!T250</f>
        <v>Autoshow, Wheelspin</v>
      </c>
      <c r="J250" s="2" t="str">
        <f>'Detailed Car List + Stats'!U250</f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6.5" customHeight="1">
      <c r="A251" s="6" t="str">
        <f>'Detailed Car List + Stats'!B251</f>
        <v>2023</v>
      </c>
      <c r="B251" s="6" t="str">
        <f>'Detailed Car List + Stats'!C251</f>
        <v>Formula Drift</v>
      </c>
      <c r="C251" s="6" t="str">
        <f>'Detailed Car List + Stats'!D251</f>
        <v>#64 Forsberg Racing Nissan Z</v>
      </c>
      <c r="D251" s="6" t="str">
        <f>'Detailed Car List + Stats'!E251</f>
        <v>Drift Cars</v>
      </c>
      <c r="E251" s="32" t="s">
        <v>604</v>
      </c>
      <c r="F251" s="6" t="str">
        <f>'Detailed Car List + Stats'!G251</f>
        <v>USA</v>
      </c>
      <c r="G251" s="19">
        <f>'Detailed Car List + Stats'!H251</f>
        <v>200000</v>
      </c>
      <c r="H251" s="34" t="s">
        <v>62</v>
      </c>
      <c r="I251" s="6" t="str">
        <f>'Detailed Car List + Stats'!T251</f>
        <v>Autoshow, Wheelspin</v>
      </c>
      <c r="J251" s="2" t="str">
        <f>'Detailed Car List + Stats'!U251</f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6.5" customHeight="1">
      <c r="A252" s="6" t="str">
        <f>'Detailed Car List + Stats'!B252</f>
        <v>2013</v>
      </c>
      <c r="B252" s="6" t="str">
        <f>'Detailed Car List + Stats'!C252</f>
        <v>Formula Drift</v>
      </c>
      <c r="C252" s="6" t="str">
        <f>'Detailed Car List + Stats'!D252</f>
        <v>#777 Chevrolet Corvette</v>
      </c>
      <c r="D252" s="6" t="str">
        <f>'Detailed Car List + Stats'!E252</f>
        <v>Drift Cars</v>
      </c>
      <c r="E252" s="32" t="s">
        <v>606</v>
      </c>
      <c r="F252" s="6" t="str">
        <f>'Detailed Car List + Stats'!G252</f>
        <v>USA</v>
      </c>
      <c r="G252" s="19">
        <f>'Detailed Car List + Stats'!H252</f>
        <v>275000</v>
      </c>
      <c r="H252" s="34" t="s">
        <v>62</v>
      </c>
      <c r="I252" s="6" t="str">
        <f>'Detailed Car List + Stats'!T252</f>
        <v>Autoshow, Wheelspin</v>
      </c>
      <c r="J252" s="2" t="str">
        <f>'Detailed Car List + Stats'!U252</f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6.5" customHeight="1">
      <c r="A253" s="6" t="str">
        <f>'Detailed Car List + Stats'!B253</f>
        <v>1997</v>
      </c>
      <c r="B253" s="6" t="str">
        <f>'Detailed Car List + Stats'!C253</f>
        <v>Formula Drift</v>
      </c>
      <c r="C253" s="6" t="str">
        <f>'Detailed Car List + Stats'!D253</f>
        <v>#777 Nissan 240SX</v>
      </c>
      <c r="D253" s="6" t="str">
        <f>'Detailed Car List + Stats'!E253</f>
        <v>Drift Cars</v>
      </c>
      <c r="E253" s="32" t="s">
        <v>601</v>
      </c>
      <c r="F253" s="6" t="str">
        <f>'Detailed Car List + Stats'!G253</f>
        <v>USA</v>
      </c>
      <c r="G253" s="19">
        <f>'Detailed Car List + Stats'!H253</f>
        <v>150000</v>
      </c>
      <c r="H253" s="34" t="s">
        <v>62</v>
      </c>
      <c r="I253" s="6" t="str">
        <f>'Detailed Car List + Stats'!T253</f>
        <v>Autoshow, Collection Journal</v>
      </c>
      <c r="J253" s="2" t="str">
        <f>'Detailed Car List + Stats'!U253</f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6.5" customHeight="1">
      <c r="A254" s="6" t="str">
        <f>'Detailed Car List + Stats'!B254</f>
        <v>2020</v>
      </c>
      <c r="B254" s="6" t="str">
        <f>'Detailed Car List + Stats'!C254</f>
        <v>Formula Drift</v>
      </c>
      <c r="C254" s="6" t="str">
        <f>'Detailed Car List + Stats'!D254</f>
        <v>#91 BMW M2</v>
      </c>
      <c r="D254" s="6" t="str">
        <f>'Detailed Car List + Stats'!E254</f>
        <v>Drift Cars</v>
      </c>
      <c r="E254" s="32" t="s">
        <v>601</v>
      </c>
      <c r="F254" s="6" t="str">
        <f>'Detailed Car List + Stats'!G254</f>
        <v>USA</v>
      </c>
      <c r="G254" s="19">
        <f>'Detailed Car List + Stats'!H254</f>
        <v>150000</v>
      </c>
      <c r="H254" s="34" t="s">
        <v>62</v>
      </c>
      <c r="I254" s="6" t="str">
        <f>'Detailed Car List + Stats'!T254</f>
        <v>Autoshow, Wheelspin</v>
      </c>
      <c r="J254" s="2" t="str">
        <f>'Detailed Car List + Stats'!U254</f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6.5" customHeight="1">
      <c r="A255" s="6" t="str">
        <f>'Detailed Car List + Stats'!B255</f>
        <v>1989</v>
      </c>
      <c r="B255" s="6" t="str">
        <f>'Detailed Car List + Stats'!C255</f>
        <v>Formula Drift</v>
      </c>
      <c r="C255" s="6" t="str">
        <f>'Detailed Car List + Stats'!D255</f>
        <v>#98 BMW 325i</v>
      </c>
      <c r="D255" s="6" t="str">
        <f>'Detailed Car List + Stats'!E255</f>
        <v>Drift Cars</v>
      </c>
      <c r="E255" s="32" t="s">
        <v>172</v>
      </c>
      <c r="F255" s="6" t="str">
        <f>'Detailed Car List + Stats'!G255</f>
        <v>USA</v>
      </c>
      <c r="G255" s="19">
        <f>'Detailed Car List + Stats'!H255</f>
        <v>150000</v>
      </c>
      <c r="H255" s="34" t="s">
        <v>62</v>
      </c>
      <c r="I255" s="6" t="str">
        <f>'Detailed Car List + Stats'!T255</f>
        <v>Autoshow, Wheelspin</v>
      </c>
      <c r="J255" s="2" t="str">
        <f>'Detailed Car List + Stats'!U255</f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6.5" customHeight="1">
      <c r="A256" s="6" t="str">
        <f>'Detailed Car List + Stats'!B256</f>
        <v>2009</v>
      </c>
      <c r="B256" s="6" t="str">
        <f>'Detailed Car List + Stats'!C256</f>
        <v>Formula Drift</v>
      </c>
      <c r="C256" s="6" t="str">
        <f>'Detailed Car List + Stats'!D256</f>
        <v>#99 Mazda RX-8</v>
      </c>
      <c r="D256" s="6" t="str">
        <f>'Detailed Car List + Stats'!E256</f>
        <v>Drift Cars</v>
      </c>
      <c r="E256" s="32" t="s">
        <v>351</v>
      </c>
      <c r="F256" s="6" t="str">
        <f>'Detailed Car List + Stats'!G256</f>
        <v>USA</v>
      </c>
      <c r="G256" s="19">
        <f>'Detailed Car List + Stats'!H256</f>
        <v>150000</v>
      </c>
      <c r="H256" s="34" t="s">
        <v>62</v>
      </c>
      <c r="I256" s="6" t="str">
        <f>'Detailed Car List + Stats'!T256</f>
        <v>Autoshow, Collection Journal</v>
      </c>
      <c r="J256" s="2" t="str">
        <f>'Detailed Car List + Stats'!U256</f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6.5" customHeight="1">
      <c r="A257" s="5" t="str">
        <f>'Detailed Car List + Stats'!B257</f>
        <v>2018</v>
      </c>
      <c r="B257" s="5" t="str">
        <f>'Detailed Car List + Stats'!C257</f>
        <v>Funco Motorsports</v>
      </c>
      <c r="C257" s="5" t="str">
        <f>'Detailed Car List + Stats'!D257</f>
        <v>F9</v>
      </c>
      <c r="D257" s="5" t="str">
        <f>'Detailed Car List + Stats'!E257</f>
        <v>Unlimited Buggies</v>
      </c>
      <c r="E257" s="32" t="s">
        <v>613</v>
      </c>
      <c r="F257" s="5" t="str">
        <f>'Detailed Car List + Stats'!G257</f>
        <v>USA</v>
      </c>
      <c r="G257" s="9">
        <f>'Detailed Car List + Stats'!H257</f>
        <v>300000</v>
      </c>
      <c r="H257" s="34" t="s">
        <v>62</v>
      </c>
      <c r="I257" s="5" t="str">
        <f>'Detailed Car List + Stats'!T257</f>
        <v>Collection Journal, Seasonal</v>
      </c>
      <c r="J257" s="21" t="str">
        <f>'Detailed Car List + Stats'!U257</f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6.5" customHeight="1">
      <c r="A258" s="6" t="str">
        <f>'Detailed Car List + Stats'!B258</f>
        <v>2022</v>
      </c>
      <c r="B258" s="6" t="str">
        <f>'Detailed Car List + Stats'!C258</f>
        <v>GMC</v>
      </c>
      <c r="C258" s="6" t="str">
        <f>'Detailed Car List + Stats'!D258</f>
        <v>HUMMER EV Pickup</v>
      </c>
      <c r="D258" s="6" t="str">
        <f>'Detailed Car List + Stats'!E258</f>
        <v>Pickups &amp; 4x4s</v>
      </c>
      <c r="E258" s="36" t="s">
        <v>616</v>
      </c>
      <c r="F258" s="6" t="str">
        <f>'Detailed Car List + Stats'!G258</f>
        <v>USA</v>
      </c>
      <c r="G258" s="19">
        <f>'Detailed Car List + Stats'!H258</f>
        <v>95000</v>
      </c>
      <c r="H258" s="34" t="s">
        <v>62</v>
      </c>
      <c r="I258" s="6" t="str">
        <f>'Detailed Car List + Stats'!T258</f>
        <v>Autoshow, Wheelspin</v>
      </c>
      <c r="J258" s="2" t="str">
        <f>'Detailed Car List + Stats'!U258</f>
        <v/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6.5" customHeight="1">
      <c r="A259" s="6" t="str">
        <f>'Detailed Car List + Stats'!B259</f>
        <v>1970</v>
      </c>
      <c r="B259" s="6" t="str">
        <f>'Detailed Car List + Stats'!C259</f>
        <v>GMC</v>
      </c>
      <c r="C259" s="6" t="str">
        <f>'Detailed Car List + Stats'!D259</f>
        <v>Jimmy</v>
      </c>
      <c r="D259" s="6" t="str">
        <f>'Detailed Car List + Stats'!E259</f>
        <v>Pickups &amp; 4x4s</v>
      </c>
      <c r="E259" s="8" t="s">
        <v>145</v>
      </c>
      <c r="F259" s="6" t="str">
        <f>'Detailed Car List + Stats'!G259</f>
        <v>USA</v>
      </c>
      <c r="G259" s="19">
        <f>'Detailed Car List + Stats'!H259</f>
        <v>60000</v>
      </c>
      <c r="H259" s="20" t="s">
        <v>33</v>
      </c>
      <c r="I259" s="6" t="str">
        <f>'Detailed Car List + Stats'!T259</f>
        <v>Autoshow</v>
      </c>
      <c r="J259" s="2" t="str">
        <f>'Detailed Car List + Stats'!U259</f>
        <v/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6.5" customHeight="1">
      <c r="A260" s="6" t="str">
        <f>'Detailed Car List + Stats'!B260</f>
        <v>1991</v>
      </c>
      <c r="B260" s="6" t="str">
        <f>'Detailed Car List + Stats'!C260</f>
        <v>GMC</v>
      </c>
      <c r="C260" s="6" t="str">
        <f>'Detailed Car List + Stats'!D260</f>
        <v>Syclone</v>
      </c>
      <c r="D260" s="6" t="str">
        <f>'Detailed Car List + Stats'!E260</f>
        <v>Pickups &amp; 4x4s</v>
      </c>
      <c r="E260" s="8" t="s">
        <v>620</v>
      </c>
      <c r="F260" s="6" t="str">
        <f>'Detailed Car List + Stats'!G260</f>
        <v>USA</v>
      </c>
      <c r="G260" s="19">
        <f>'Detailed Car List + Stats'!H260</f>
        <v>46000</v>
      </c>
      <c r="H260" s="34" t="s">
        <v>62</v>
      </c>
      <c r="I260" s="6" t="str">
        <f>'Detailed Car List + Stats'!T260</f>
        <v>Autoshow, Wheelspin</v>
      </c>
      <c r="J260" s="2" t="str">
        <f>'Detailed Car List + Stats'!U260</f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6.5" customHeight="1">
      <c r="A261" s="6" t="str">
        <f>'Detailed Car List + Stats'!B261</f>
        <v>1992</v>
      </c>
      <c r="B261" s="6" t="str">
        <f>'Detailed Car List + Stats'!C261</f>
        <v>GMC</v>
      </c>
      <c r="C261" s="6" t="str">
        <f>'Detailed Car List + Stats'!D261</f>
        <v>Typhoon</v>
      </c>
      <c r="D261" s="6" t="str">
        <f>'Detailed Car List + Stats'!E261</f>
        <v>Sports Utility Heroes</v>
      </c>
      <c r="E261" s="8" t="s">
        <v>622</v>
      </c>
      <c r="F261" s="6" t="str">
        <f>'Detailed Car List + Stats'!G261</f>
        <v>USA</v>
      </c>
      <c r="G261" s="19">
        <f>'Detailed Car List + Stats'!H261</f>
        <v>38000</v>
      </c>
      <c r="H261" s="34" t="s">
        <v>62</v>
      </c>
      <c r="I261" s="6" t="str">
        <f>'Detailed Car List + Stats'!T261</f>
        <v>Autoshow, Wheelspin</v>
      </c>
      <c r="J261" s="2" t="str">
        <f>'Detailed Car List + Stats'!U261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6.5" customHeight="1">
      <c r="A262" s="6" t="str">
        <f>'Detailed Car List + Stats'!B262</f>
        <v>2020</v>
      </c>
      <c r="B262" s="6" t="str">
        <f>'Detailed Car List + Stats'!C262</f>
        <v>Gordon Murray Automotive</v>
      </c>
      <c r="C262" s="6" t="str">
        <f>'Detailed Car List + Stats'!D262</f>
        <v>T.50</v>
      </c>
      <c r="D262" s="6" t="str">
        <f>'Detailed Car List + Stats'!E262</f>
        <v>Hypercars</v>
      </c>
      <c r="E262" s="50" t="s">
        <v>625</v>
      </c>
      <c r="F262" s="6" t="str">
        <f>'Detailed Car List + Stats'!G262</f>
        <v>UK</v>
      </c>
      <c r="G262" s="19">
        <f>'Detailed Car List + Stats'!H262</f>
        <v>3050000</v>
      </c>
      <c r="H262" s="35" t="s">
        <v>76</v>
      </c>
      <c r="I262" s="6" t="str">
        <f>'Detailed Car List + Stats'!T262</f>
        <v>Autoshow, Collection Journal</v>
      </c>
      <c r="J262" s="2" t="str">
        <f>'Detailed Car List + Stats'!U262</f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6.5" customHeight="1">
      <c r="A263" s="6" t="str">
        <f>'Detailed Car List + Stats'!B263</f>
        <v>2025</v>
      </c>
      <c r="B263" s="6" t="str">
        <f>'Detailed Car List + Stats'!C263</f>
        <v>GR</v>
      </c>
      <c r="C263" s="6" t="str">
        <f>'Detailed Car List + Stats'!D263</f>
        <v>GT Prototype</v>
      </c>
      <c r="D263" s="6" t="str">
        <f>'Detailed Car List + Stats'!E263</f>
        <v>Super GT</v>
      </c>
      <c r="E263" s="32" t="s">
        <v>628</v>
      </c>
      <c r="F263" s="6" t="str">
        <f>'Detailed Car List + Stats'!G263</f>
        <v>Japan</v>
      </c>
      <c r="G263" s="19">
        <f>'Detailed Car List + Stats'!H263</f>
        <v>250000</v>
      </c>
      <c r="H263" s="35" t="s">
        <v>76</v>
      </c>
      <c r="I263" s="6" t="str">
        <f>'Detailed Car List + Stats'!T263</f>
        <v>Autoshow, Wheelspin</v>
      </c>
      <c r="J263" s="2" t="str">
        <f>'Detailed Car List + Stats'!U263</f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6.5" customHeight="1">
      <c r="A264" s="6" t="str">
        <f>'Detailed Car List + Stats'!B264</f>
        <v>2019</v>
      </c>
      <c r="B264" s="6" t="str">
        <f>'Detailed Car List + Stats'!C264</f>
        <v>Hennessey</v>
      </c>
      <c r="C264" s="6" t="str">
        <f>'Detailed Car List + Stats'!D264</f>
        <v>Ford F-150 VelociRaptor 6x6</v>
      </c>
      <c r="D264" s="6" t="str">
        <f>'Detailed Car List + Stats'!E264</f>
        <v>Pickups &amp; 4x4s</v>
      </c>
      <c r="E264" s="25" t="s">
        <v>631</v>
      </c>
      <c r="F264" s="6" t="str">
        <f>'Detailed Car List + Stats'!G264</f>
        <v>USA</v>
      </c>
      <c r="G264" s="19">
        <f>'Detailed Car List + Stats'!H264</f>
        <v>375000</v>
      </c>
      <c r="H264" s="35" t="s">
        <v>76</v>
      </c>
      <c r="I264" s="6" t="str">
        <f>'Detailed Car List + Stats'!T264</f>
        <v>Autoshow, Wheelspin</v>
      </c>
      <c r="J264" s="2" t="str">
        <f>'Detailed Car List + Stats'!U264</f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6.5" customHeight="1">
      <c r="A265" s="6" t="str">
        <f>'Detailed Car List + Stats'!B265</f>
        <v>2021</v>
      </c>
      <c r="B265" s="6" t="str">
        <f>'Detailed Car List + Stats'!C265</f>
        <v>Hennessey</v>
      </c>
      <c r="C265" s="6" t="str">
        <f>'Detailed Car List + Stats'!D265</f>
        <v>Venom F5</v>
      </c>
      <c r="D265" s="6" t="str">
        <f>'Detailed Car List + Stats'!E265</f>
        <v>Hypercars</v>
      </c>
      <c r="E265" s="50" t="s">
        <v>633</v>
      </c>
      <c r="F265" s="6" t="str">
        <f>'Detailed Car List + Stats'!G265</f>
        <v>USA</v>
      </c>
      <c r="G265" s="19">
        <f>'Detailed Car List + Stats'!H265</f>
        <v>2050000</v>
      </c>
      <c r="H265" s="35" t="s">
        <v>76</v>
      </c>
      <c r="I265" s="6" t="str">
        <f>'Detailed Car List + Stats'!T265</f>
        <v>Autoshow, Wheelspin</v>
      </c>
      <c r="J265" s="2" t="str">
        <f>'Detailed Car List + Stats'!U265</f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6.5" customHeight="1">
      <c r="A266" s="5" t="str">
        <f>'Detailed Car List + Stats'!B266</f>
        <v>2012</v>
      </c>
      <c r="B266" s="5" t="str">
        <f>'Detailed Car List + Stats'!C266</f>
        <v>Hennessey</v>
      </c>
      <c r="C266" s="5" t="str">
        <f>'Detailed Car List + Stats'!D266</f>
        <v>Venom GT</v>
      </c>
      <c r="D266" s="5" t="str">
        <f>'Detailed Car List + Stats'!E266</f>
        <v>Hypercars</v>
      </c>
      <c r="E266" s="50" t="s">
        <v>635</v>
      </c>
      <c r="F266" s="5" t="str">
        <f>'Detailed Car List + Stats'!G266</f>
        <v>USA</v>
      </c>
      <c r="G266" s="9" t="str">
        <f>'Detailed Car List + Stats'!H266</f>
        <v/>
      </c>
      <c r="H266" s="48"/>
      <c r="I266" s="5" t="str">
        <f>'Detailed Car List + Stats'!T266</f>
        <v>Wheelspin, Seasonal</v>
      </c>
      <c r="J266" s="21" t="str">
        <f>'Detailed Car List + Stats'!U266</f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6.5" customHeight="1">
      <c r="A267" s="6" t="str">
        <f>'Detailed Car List + Stats'!B267</f>
        <v>1977</v>
      </c>
      <c r="B267" s="6" t="str">
        <f>'Detailed Car List + Stats'!C267</f>
        <v>Holden</v>
      </c>
      <c r="C267" s="6" t="str">
        <f>'Detailed Car List + Stats'!D267</f>
        <v>Torana A9X</v>
      </c>
      <c r="D267" s="6" t="str">
        <f>'Detailed Car List + Stats'!E267</f>
        <v>Classic Muscle</v>
      </c>
      <c r="E267" s="8" t="s">
        <v>638</v>
      </c>
      <c r="F267" s="6" t="str">
        <f>'Detailed Car List + Stats'!G267</f>
        <v>Australia</v>
      </c>
      <c r="G267" s="19">
        <f>'Detailed Car List + Stats'!H267</f>
        <v>500000</v>
      </c>
      <c r="H267" s="10" t="s">
        <v>27</v>
      </c>
      <c r="I267" s="6" t="str">
        <f>'Detailed Car List + Stats'!T267</f>
        <v>Autoshow, Wheelspin</v>
      </c>
      <c r="J267" s="2" t="str">
        <f>'Detailed Car List + Stats'!U267</f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6.5" customHeight="1">
      <c r="A268" s="37" t="str">
        <f>'Detailed Car List + Stats'!B268</f>
        <v>1990</v>
      </c>
      <c r="B268" s="37" t="str">
        <f>'Detailed Car List + Stats'!C268</f>
        <v>Honda</v>
      </c>
      <c r="C268" s="37" t="str">
        <f>'Detailed Car List + Stats'!D268</f>
        <v>#19 101 Motorsport CRX WTAC</v>
      </c>
      <c r="D268" s="37" t="str">
        <f>'Detailed Car List + Stats'!E268</f>
        <v>Extreme Track Toys</v>
      </c>
      <c r="E268" s="50" t="s">
        <v>642</v>
      </c>
      <c r="F268" s="37" t="str">
        <f>'Detailed Car List + Stats'!G268</f>
        <v>Japan</v>
      </c>
      <c r="G268" s="38">
        <f>'Detailed Car List + Stats'!H268</f>
        <v>150000</v>
      </c>
      <c r="H268" s="10" t="s">
        <v>27</v>
      </c>
      <c r="I268" s="37" t="str">
        <f>'Detailed Car List + Stats'!T268</f>
        <v>Autoshow DLC</v>
      </c>
      <c r="J268" s="37" t="str">
        <f>'Detailed Car List + Stats'!U268</f>
        <v>Time Attack Car Pack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6.5" customHeight="1">
      <c r="A269" s="37" t="str">
        <f>'Detailed Car List + Stats'!B269</f>
        <v>1992</v>
      </c>
      <c r="B269" s="37" t="str">
        <f>'Detailed Car List + Stats'!C269</f>
        <v>Honda</v>
      </c>
      <c r="C269" s="37" t="str">
        <f>'Detailed Car List + Stats'!D269</f>
        <v>#21 Hardrace/JDMYard Civic WTAC</v>
      </c>
      <c r="D269" s="37" t="str">
        <f>'Detailed Car List + Stats'!E269</f>
        <v>Extreme Track Toys</v>
      </c>
      <c r="E269" s="49" t="s">
        <v>645</v>
      </c>
      <c r="F269" s="37" t="str">
        <f>'Detailed Car List + Stats'!G269</f>
        <v>Japan</v>
      </c>
      <c r="G269" s="38">
        <f>'Detailed Car List + Stats'!H269</f>
        <v>150000</v>
      </c>
      <c r="H269" s="34" t="s">
        <v>62</v>
      </c>
      <c r="I269" s="37" t="str">
        <f>'Detailed Car List + Stats'!T269</f>
        <v>Autoshow DLC</v>
      </c>
      <c r="J269" s="37" t="str">
        <f>'Detailed Car List + Stats'!U269</f>
        <v>Time Attack Car Pack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6.5" customHeight="1">
      <c r="A270" s="37" t="str">
        <f>'Detailed Car List + Stats'!B270</f>
        <v>2001</v>
      </c>
      <c r="B270" s="37" t="str">
        <f>'Detailed Car List + Stats'!C270</f>
        <v>Honda</v>
      </c>
      <c r="C270" s="37" t="str">
        <f>'Detailed Car List + Stats'!D270</f>
        <v>#33 Integra WTAC</v>
      </c>
      <c r="D270" s="37" t="str">
        <f>'Detailed Car List + Stats'!E270</f>
        <v>Extreme Track Toys</v>
      </c>
      <c r="E270" s="50" t="s">
        <v>647</v>
      </c>
      <c r="F270" s="37" t="str">
        <f>'Detailed Car List + Stats'!G270</f>
        <v>Japan</v>
      </c>
      <c r="G270" s="38">
        <f>'Detailed Car List + Stats'!H270</f>
        <v>150000</v>
      </c>
      <c r="H270" s="34" t="s">
        <v>62</v>
      </c>
      <c r="I270" s="37" t="str">
        <f>'Detailed Car List + Stats'!T270</f>
        <v>Autoshow DLC</v>
      </c>
      <c r="J270" s="37" t="str">
        <f>'Detailed Car List + Stats'!U270</f>
        <v>Time Attack Car Pack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6.5" customHeight="1">
      <c r="A271" s="37" t="str">
        <f>'Detailed Car List + Stats'!B271</f>
        <v>2004</v>
      </c>
      <c r="B271" s="37" t="str">
        <f>'Detailed Car List + Stats'!C271</f>
        <v>Honda</v>
      </c>
      <c r="C271" s="37" t="str">
        <f>'Detailed Car List + Stats'!D271</f>
        <v>#52 Evasive Motorsports S2000 WTAC</v>
      </c>
      <c r="D271" s="37" t="str">
        <f>'Detailed Car List + Stats'!E271</f>
        <v>Extreme Track Toys</v>
      </c>
      <c r="E271" s="50" t="s">
        <v>650</v>
      </c>
      <c r="F271" s="37" t="str">
        <f>'Detailed Car List + Stats'!G271</f>
        <v>Japan</v>
      </c>
      <c r="G271" s="38">
        <f>'Detailed Car List + Stats'!H271</f>
        <v>320000</v>
      </c>
      <c r="H271" s="34" t="s">
        <v>62</v>
      </c>
      <c r="I271" s="37" t="str">
        <f>'Detailed Car List + Stats'!T271</f>
        <v>Autoshow DLC</v>
      </c>
      <c r="J271" s="37" t="str">
        <f>'Detailed Car List + Stats'!U271</f>
        <v>Time Attack Car Pack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6.5" customHeight="1">
      <c r="A272" s="6" t="str">
        <f>'Detailed Car List + Stats'!B272</f>
        <v>1994</v>
      </c>
      <c r="B272" s="6" t="str">
        <f>'Detailed Car List + Stats'!C272</f>
        <v>Honda</v>
      </c>
      <c r="C272" s="6" t="str">
        <f>'Detailed Car List + Stats'!D272</f>
        <v>Acty</v>
      </c>
      <c r="D272" s="6" t="str">
        <f>'Detailed Car List + Stats'!E272</f>
        <v>Eclectic Domestics</v>
      </c>
      <c r="E272" s="17" t="s">
        <v>32</v>
      </c>
      <c r="F272" s="6" t="str">
        <f>'Detailed Car List + Stats'!G272</f>
        <v>Japan</v>
      </c>
      <c r="G272" s="19">
        <f>'Detailed Car List + Stats'!H272</f>
        <v>9000</v>
      </c>
      <c r="H272" s="20" t="s">
        <v>33</v>
      </c>
      <c r="I272" s="6" t="str">
        <f>'Detailed Car List + Stats'!T272</f>
        <v>Autoshow, Collection Journal, Wheelspin</v>
      </c>
      <c r="J272" s="2" t="str">
        <f>'Detailed Car List + Stats'!U272</f>
        <v/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6.5" customHeight="1">
      <c r="A273" s="6" t="str">
        <f>'Detailed Car List + Stats'!B273</f>
        <v>1991</v>
      </c>
      <c r="B273" s="6" t="str">
        <f>'Detailed Car List + Stats'!C273</f>
        <v>Honda</v>
      </c>
      <c r="C273" s="6" t="str">
        <f>'Detailed Car List + Stats'!D273</f>
        <v>Beat</v>
      </c>
      <c r="D273" s="6" t="str">
        <f>'Detailed Car List + Stats'!E273</f>
        <v>Eclectic Domestics</v>
      </c>
      <c r="E273" s="17" t="s">
        <v>653</v>
      </c>
      <c r="F273" s="6" t="str">
        <f>'Detailed Car List + Stats'!G273</f>
        <v>Japan</v>
      </c>
      <c r="G273" s="19">
        <f>'Detailed Car List + Stats'!H273</f>
        <v>15000</v>
      </c>
      <c r="H273" s="10" t="s">
        <v>27</v>
      </c>
      <c r="I273" s="6" t="str">
        <f>'Detailed Car List + Stats'!T273</f>
        <v>Autoshow, Collection Journal, Wheelspin</v>
      </c>
      <c r="J273" s="2" t="str">
        <f>'Detailed Car List + Stats'!U273</f>
        <v/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6.5" customHeight="1">
      <c r="A274" s="6" t="str">
        <f>'Detailed Car List + Stats'!B274</f>
        <v>1984</v>
      </c>
      <c r="B274" s="6" t="str">
        <f>'Detailed Car List + Stats'!C274</f>
        <v>Honda</v>
      </c>
      <c r="C274" s="6" t="str">
        <f>'Detailed Car List + Stats'!D274</f>
        <v>City E II</v>
      </c>
      <c r="D274" s="6" t="str">
        <f>'Detailed Car List + Stats'!E274</f>
        <v>Eclectic Domestics</v>
      </c>
      <c r="E274" s="17" t="s">
        <v>655</v>
      </c>
      <c r="F274" s="6" t="str">
        <f>'Detailed Car List + Stats'!G274</f>
        <v>Japan</v>
      </c>
      <c r="G274" s="19">
        <f>'Detailed Car List + Stats'!H274</f>
        <v>7500</v>
      </c>
      <c r="H274" s="34" t="s">
        <v>62</v>
      </c>
      <c r="I274" s="6" t="str">
        <f>'Detailed Car List + Stats'!T274</f>
        <v>Autoshow, Collection Journal, Wheelspin</v>
      </c>
      <c r="J274" s="2" t="str">
        <f>'Detailed Car List + Stats'!U274</f>
        <v/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6.5" customHeight="1">
      <c r="A275" s="5" t="str">
        <f>'Detailed Car List + Stats'!B275</f>
        <v>1984</v>
      </c>
      <c r="B275" s="5" t="str">
        <f>'Detailed Car List + Stats'!C275</f>
        <v>Honda</v>
      </c>
      <c r="C275" s="5" t="str">
        <f>'Detailed Car List + Stats'!D275</f>
        <v>Civic CRX Mugen</v>
      </c>
      <c r="D275" s="5" t="str">
        <f>'Detailed Car List + Stats'!E275</f>
        <v>Retro Sports Cars</v>
      </c>
      <c r="E275" s="17" t="s">
        <v>657</v>
      </c>
      <c r="F275" s="5" t="str">
        <f>'Detailed Car List + Stats'!G275</f>
        <v>Japan</v>
      </c>
      <c r="G275" s="9" t="str">
        <f>'Detailed Car List + Stats'!H275</f>
        <v/>
      </c>
      <c r="H275" s="48"/>
      <c r="I275" s="5" t="str">
        <f>'Detailed Car List + Stats'!T275</f>
        <v>Collection Journal, Seasonal</v>
      </c>
      <c r="J275" s="21" t="str">
        <f>'Detailed Car List + Stats'!U275</f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6.5" customHeight="1">
      <c r="A276" s="5" t="str">
        <f>'Detailed Car List + Stats'!B276</f>
        <v>1974</v>
      </c>
      <c r="B276" s="5" t="str">
        <f>'Detailed Car List + Stats'!C276</f>
        <v>Honda</v>
      </c>
      <c r="C276" s="5" t="str">
        <f>'Detailed Car List + Stats'!D276</f>
        <v>Civic RS</v>
      </c>
      <c r="D276" s="5" t="str">
        <f>'Detailed Car List + Stats'!E276</f>
        <v>Retro Hot Hatch</v>
      </c>
      <c r="E276" s="17" t="s">
        <v>660</v>
      </c>
      <c r="F276" s="5" t="str">
        <f>'Detailed Car List + Stats'!G276</f>
        <v>Japan</v>
      </c>
      <c r="G276" s="9" t="str">
        <f>'Detailed Car List + Stats'!H276</f>
        <v/>
      </c>
      <c r="H276" s="48"/>
      <c r="I276" s="5" t="str">
        <f>'Detailed Car List + Stats'!T276</f>
        <v>Collection Journal, Seasonal</v>
      </c>
      <c r="J276" s="21" t="str">
        <f>'Detailed Car List + Stats'!U276</f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6.5" customHeight="1">
      <c r="A277" s="6" t="str">
        <f>'Detailed Car List + Stats'!B277</f>
        <v>1986</v>
      </c>
      <c r="B277" s="6" t="str">
        <f>'Detailed Car List + Stats'!C277</f>
        <v>Honda</v>
      </c>
      <c r="C277" s="6" t="str">
        <f>'Detailed Car List + Stats'!D277</f>
        <v>Civic Si</v>
      </c>
      <c r="D277" s="6" t="str">
        <f>'Detailed Car List + Stats'!E277</f>
        <v>Retro Hot Hatch</v>
      </c>
      <c r="E277" s="17" t="s">
        <v>662</v>
      </c>
      <c r="F277" s="6" t="str">
        <f>'Detailed Car List + Stats'!G277</f>
        <v>Japan</v>
      </c>
      <c r="G277" s="19">
        <f>'Detailed Car List + Stats'!H277</f>
        <v>10000</v>
      </c>
      <c r="H277" s="34" t="s">
        <v>62</v>
      </c>
      <c r="I277" s="6" t="str">
        <f>'Detailed Car List + Stats'!T277</f>
        <v>Autoshow</v>
      </c>
      <c r="J277" s="2" t="str">
        <f>'Detailed Car List + Stats'!U277</f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6.5" customHeight="1">
      <c r="A278" s="6" t="str">
        <f>'Detailed Car List + Stats'!B278</f>
        <v>1997</v>
      </c>
      <c r="B278" s="6" t="str">
        <f>'Detailed Car List + Stats'!C278</f>
        <v>Honda</v>
      </c>
      <c r="C278" s="6" t="str">
        <f>'Detailed Car List + Stats'!D278</f>
        <v>Civic Type R</v>
      </c>
      <c r="D278" s="6" t="str">
        <f>'Detailed Car List + Stats'!E278</f>
        <v>Retro Hot Hatch</v>
      </c>
      <c r="E278" s="8" t="s">
        <v>336</v>
      </c>
      <c r="F278" s="6" t="str">
        <f>'Detailed Car List + Stats'!G278</f>
        <v>Japan</v>
      </c>
      <c r="G278" s="19">
        <f>'Detailed Car List + Stats'!H278</f>
        <v>30000</v>
      </c>
      <c r="H278" s="20" t="s">
        <v>33</v>
      </c>
      <c r="I278" s="6" t="str">
        <f>'Detailed Car List + Stats'!T278</f>
        <v>Autoshow, Wheelspin</v>
      </c>
      <c r="J278" s="2" t="str">
        <f>'Detailed Car List + Stats'!U278</f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6.5" customHeight="1">
      <c r="A279" s="6" t="str">
        <f>'Detailed Car List + Stats'!B279</f>
        <v>2004</v>
      </c>
      <c r="B279" s="6" t="str">
        <f>'Detailed Car List + Stats'!C279</f>
        <v>Honda</v>
      </c>
      <c r="C279" s="6" t="str">
        <f>'Detailed Car List + Stats'!D279</f>
        <v>Civic Type R</v>
      </c>
      <c r="D279" s="6" t="str">
        <f>'Detailed Car List + Stats'!E279</f>
        <v>Retro Hot Hatch</v>
      </c>
      <c r="E279" s="8" t="s">
        <v>664</v>
      </c>
      <c r="F279" s="6" t="str">
        <f>'Detailed Car List + Stats'!G279</f>
        <v>Japan</v>
      </c>
      <c r="G279" s="19">
        <f>'Detailed Car List + Stats'!H279</f>
        <v>15000</v>
      </c>
      <c r="H279" s="20" t="s">
        <v>33</v>
      </c>
      <c r="I279" s="6" t="str">
        <f>'Detailed Car List + Stats'!T279</f>
        <v>Autoshow, Wheelspin</v>
      </c>
      <c r="J279" s="2" t="str">
        <f>'Detailed Car List + Stats'!U279</f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6.5" customHeight="1">
      <c r="A280" s="6" t="str">
        <f>'Detailed Car List + Stats'!B280</f>
        <v>2007</v>
      </c>
      <c r="B280" s="6" t="str">
        <f>'Detailed Car List + Stats'!C280</f>
        <v>Honda</v>
      </c>
      <c r="C280" s="6" t="str">
        <f>'Detailed Car List + Stats'!D280</f>
        <v>Civic Type R</v>
      </c>
      <c r="D280" s="6" t="str">
        <f>'Detailed Car List + Stats'!E280</f>
        <v>Hot Hatch</v>
      </c>
      <c r="E280" s="8" t="s">
        <v>303</v>
      </c>
      <c r="F280" s="6" t="str">
        <f>'Detailed Car List + Stats'!G280</f>
        <v>Japan</v>
      </c>
      <c r="G280" s="19">
        <f>'Detailed Car List + Stats'!H280</f>
        <v>17000</v>
      </c>
      <c r="H280" s="20" t="s">
        <v>33</v>
      </c>
      <c r="I280" s="6" t="str">
        <f>'Detailed Car List + Stats'!T280</f>
        <v>Autoshow, Wheelspin</v>
      </c>
      <c r="J280" s="2" t="str">
        <f>'Detailed Car List + Stats'!U280</f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6.5" customHeight="1">
      <c r="A281" s="6" t="str">
        <f>'Detailed Car List + Stats'!B281</f>
        <v>2008</v>
      </c>
      <c r="B281" s="6" t="str">
        <f>'Detailed Car List + Stats'!C281</f>
        <v>Honda</v>
      </c>
      <c r="C281" s="6" t="str">
        <f>'Detailed Car List + Stats'!D281</f>
        <v>Civic Type R</v>
      </c>
      <c r="D281" s="6" t="str">
        <f>'Detailed Car List + Stats'!E281</f>
        <v>Retro Super Saloons</v>
      </c>
      <c r="E281" s="25" t="s">
        <v>666</v>
      </c>
      <c r="F281" s="6" t="str">
        <f>'Detailed Car List + Stats'!G281</f>
        <v>Japan</v>
      </c>
      <c r="G281" s="55">
        <f>'Detailed Car List + Stats'!H281</f>
        <v>43000</v>
      </c>
      <c r="H281" s="10" t="s">
        <v>27</v>
      </c>
      <c r="I281" s="6" t="str">
        <f>'Detailed Car List + Stats'!T281</f>
        <v>Autoshow DLC</v>
      </c>
      <c r="J281" s="2" t="str">
        <f>'Detailed Car List + Stats'!U281</f>
        <v>Car Pass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6.5" customHeight="1">
      <c r="A282" s="6" t="str">
        <f>'Detailed Car List + Stats'!B282</f>
        <v>2015</v>
      </c>
      <c r="B282" s="6" t="str">
        <f>'Detailed Car List + Stats'!C282</f>
        <v>Honda</v>
      </c>
      <c r="C282" s="6" t="str">
        <f>'Detailed Car List + Stats'!D282</f>
        <v>Civic Type R</v>
      </c>
      <c r="D282" s="6" t="str">
        <f>'Detailed Car List + Stats'!E282</f>
        <v>Super Hot Hatch</v>
      </c>
      <c r="E282" s="36" t="s">
        <v>271</v>
      </c>
      <c r="F282" s="6" t="str">
        <f>'Detailed Car List + Stats'!G282</f>
        <v>Japan</v>
      </c>
      <c r="G282" s="19">
        <f>'Detailed Car List + Stats'!H282</f>
        <v>20000</v>
      </c>
      <c r="H282" s="20" t="s">
        <v>33</v>
      </c>
      <c r="I282" s="6" t="str">
        <f>'Detailed Car List + Stats'!T282</f>
        <v>Autoshow, Wheelspin</v>
      </c>
      <c r="J282" s="2" t="str">
        <f>'Detailed Car List + Stats'!U282</f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6.5" customHeight="1">
      <c r="A283" s="6" t="str">
        <f>'Detailed Car List + Stats'!B283</f>
        <v>2018</v>
      </c>
      <c r="B283" s="6" t="str">
        <f>'Detailed Car List + Stats'!C283</f>
        <v>Honda</v>
      </c>
      <c r="C283" s="6" t="str">
        <f>'Detailed Car List + Stats'!D283</f>
        <v>Civic Type R</v>
      </c>
      <c r="D283" s="6" t="str">
        <f>'Detailed Car List + Stats'!E283</f>
        <v>Super Hot Hatch</v>
      </c>
      <c r="E283" s="36" t="s">
        <v>667</v>
      </c>
      <c r="F283" s="6" t="str">
        <f>'Detailed Car List + Stats'!G283</f>
        <v>Japan</v>
      </c>
      <c r="G283" s="19">
        <f>'Detailed Car List + Stats'!H283</f>
        <v>30000</v>
      </c>
      <c r="H283" s="10" t="s">
        <v>27</v>
      </c>
      <c r="I283" s="6" t="str">
        <f>'Detailed Car List + Stats'!T283</f>
        <v>Autoshow, Wheelspin</v>
      </c>
      <c r="J283" s="2" t="str">
        <f>'Detailed Car List + Stats'!U283</f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6.5" customHeight="1">
      <c r="A284" s="37" t="str">
        <f>'Detailed Car List + Stats'!B284</f>
        <v>2023</v>
      </c>
      <c r="B284" s="37" t="str">
        <f>'Detailed Car List + Stats'!C284</f>
        <v>Honda</v>
      </c>
      <c r="C284" s="37" t="str">
        <f>'Detailed Car List + Stats'!D284</f>
        <v>Civic Type R</v>
      </c>
      <c r="D284" s="37" t="str">
        <f>'Detailed Car List + Stats'!E284</f>
        <v>Super Hot Hatch</v>
      </c>
      <c r="E284" s="25" t="s">
        <v>665</v>
      </c>
      <c r="F284" s="37" t="str">
        <f>'Detailed Car List + Stats'!G284</f>
        <v>Japan</v>
      </c>
      <c r="G284" s="38">
        <f>'Detailed Car List + Stats'!H284</f>
        <v>35000</v>
      </c>
      <c r="H284" s="10" t="s">
        <v>27</v>
      </c>
      <c r="I284" s="37" t="str">
        <f>'Detailed Car List + Stats'!T284</f>
        <v>Autoshow, Collection Journal, Wheelspin</v>
      </c>
      <c r="J284" s="37" t="str">
        <f>'Detailed Car List + Stats'!U284</f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6.5" customHeight="1">
      <c r="A285" s="5" t="str">
        <f>'Detailed Car List + Stats'!B285</f>
        <v>1991</v>
      </c>
      <c r="B285" s="5" t="str">
        <f>'Detailed Car List + Stats'!C285</f>
        <v>Honda</v>
      </c>
      <c r="C285" s="5" t="str">
        <f>'Detailed Car List + Stats'!D285</f>
        <v>CR-X SiR</v>
      </c>
      <c r="D285" s="5" t="str">
        <f>'Detailed Car List + Stats'!E285</f>
        <v>Retro Hot Hatch</v>
      </c>
      <c r="E285" s="8" t="s">
        <v>669</v>
      </c>
      <c r="F285" s="5" t="str">
        <f>'Detailed Car List + Stats'!G285</f>
        <v>Japan</v>
      </c>
      <c r="G285" s="9" t="str">
        <f>'Detailed Car List + Stats'!H285</f>
        <v/>
      </c>
      <c r="H285" s="48"/>
      <c r="I285" s="5" t="str">
        <f>'Detailed Car List + Stats'!T285</f>
        <v>Seasonal</v>
      </c>
      <c r="J285" s="21" t="str">
        <f>'Detailed Car List + Stats'!U285</f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6.5" customHeight="1">
      <c r="A286" s="6" t="str">
        <f>'Detailed Car List + Stats'!B286</f>
        <v>2022</v>
      </c>
      <c r="B286" s="6" t="str">
        <f>'Detailed Car List + Stats'!C286</f>
        <v>Honda</v>
      </c>
      <c r="C286" s="6" t="str">
        <f>'Detailed Car List + Stats'!D286</f>
        <v>e</v>
      </c>
      <c r="D286" s="6" t="str">
        <f>'Detailed Car List + Stats'!E286</f>
        <v>Hot Hatch</v>
      </c>
      <c r="E286" s="17" t="s">
        <v>671</v>
      </c>
      <c r="F286" s="6" t="str">
        <f>'Detailed Car List + Stats'!G286</f>
        <v>Japan</v>
      </c>
      <c r="G286" s="19">
        <f>'Detailed Car List + Stats'!H286</f>
        <v>30000</v>
      </c>
      <c r="H286" s="20" t="s">
        <v>33</v>
      </c>
      <c r="I286" s="6" t="str">
        <f>'Detailed Car List + Stats'!T286</f>
        <v>Autoshow, Wheelspin</v>
      </c>
      <c r="J286" s="2" t="str">
        <f>'Detailed Car List + Stats'!U286</f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6.5" customHeight="1">
      <c r="A287" s="5" t="str">
        <f>'Detailed Car List + Stats'!B287</f>
        <v>1970</v>
      </c>
      <c r="B287" s="5" t="str">
        <f>'Detailed Car List + Stats'!C287</f>
        <v>Honda</v>
      </c>
      <c r="C287" s="5" t="str">
        <f>'Detailed Car List + Stats'!D287</f>
        <v>N600</v>
      </c>
      <c r="D287" s="5" t="str">
        <f>'Detailed Car List + Stats'!E287</f>
        <v>Electic Domestics</v>
      </c>
      <c r="E287" s="17" t="s">
        <v>32</v>
      </c>
      <c r="F287" s="5" t="str">
        <f>'Detailed Car List + Stats'!G287</f>
        <v>Japan</v>
      </c>
      <c r="G287" s="9" t="str">
        <f>'Detailed Car List + Stats'!H287</f>
        <v/>
      </c>
      <c r="H287" s="19"/>
      <c r="I287" s="5" t="str">
        <f>'Detailed Car List + Stats'!T287</f>
        <v>Seasonal</v>
      </c>
      <c r="J287" s="21" t="str">
        <f>'Detailed Car List + Stats'!U287</f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6.5" customHeight="1">
      <c r="A288" s="6" t="str">
        <f>'Detailed Car List + Stats'!B288</f>
        <v>1992</v>
      </c>
      <c r="B288" s="6" t="str">
        <f>'Detailed Car List + Stats'!C288</f>
        <v>Honda</v>
      </c>
      <c r="C288" s="6" t="str">
        <f>'Detailed Car List + Stats'!D288</f>
        <v>NSX-R</v>
      </c>
      <c r="D288" s="6" t="str">
        <f>'Detailed Car List + Stats'!E288</f>
        <v>Retro Sports Cars</v>
      </c>
      <c r="E288" s="25" t="s">
        <v>675</v>
      </c>
      <c r="F288" s="6" t="str">
        <f>'Detailed Car List + Stats'!G288</f>
        <v>Japan</v>
      </c>
      <c r="G288" s="19">
        <f>'Detailed Car List + Stats'!H288</f>
        <v>450000</v>
      </c>
      <c r="H288" s="34" t="s">
        <v>62</v>
      </c>
      <c r="I288" s="6" t="str">
        <f>'Detailed Car List + Stats'!T288</f>
        <v>Autoshow, Wheelspin</v>
      </c>
      <c r="J288" s="2" t="str">
        <f>'Detailed Car List + Stats'!U288</f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6.5" customHeight="1">
      <c r="A289" s="6" t="str">
        <f>'Detailed Car List + Stats'!B289</f>
        <v>2005</v>
      </c>
      <c r="B289" s="6" t="str">
        <f>'Detailed Car List + Stats'!C289</f>
        <v>Honda</v>
      </c>
      <c r="C289" s="6" t="str">
        <f>'Detailed Car List + Stats'!D289</f>
        <v>NSX-R</v>
      </c>
      <c r="D289" s="6" t="str">
        <f>'Detailed Car List + Stats'!E289</f>
        <v>Retro Sports Cars</v>
      </c>
      <c r="E289" s="25" t="s">
        <v>676</v>
      </c>
      <c r="F289" s="6" t="str">
        <f>'Detailed Car List + Stats'!G289</f>
        <v>Japan</v>
      </c>
      <c r="G289" s="19">
        <f>'Detailed Car List + Stats'!H289</f>
        <v>325000</v>
      </c>
      <c r="H289" s="34" t="s">
        <v>62</v>
      </c>
      <c r="I289" s="6" t="str">
        <f>'Detailed Car List + Stats'!T289</f>
        <v>Autoshow, Collection Journal</v>
      </c>
      <c r="J289" s="2" t="str">
        <f>'Detailed Car List + Stats'!U289</f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6.5" customHeight="1">
      <c r="A290" s="5" t="str">
        <f>'Detailed Car List + Stats'!B290</f>
        <v>2005</v>
      </c>
      <c r="B290" s="5" t="str">
        <f>'Detailed Car List + Stats'!C290</f>
        <v>Honda</v>
      </c>
      <c r="C290" s="5" t="str">
        <f>'Detailed Car List + Stats'!D290</f>
        <v>NSX-R GT</v>
      </c>
      <c r="D290" s="5" t="str">
        <f>'Detailed Car List + Stats'!E290</f>
        <v>Retro Sports Cars</v>
      </c>
      <c r="E290" s="36" t="s">
        <v>271</v>
      </c>
      <c r="F290" s="5" t="str">
        <f>'Detailed Car List + Stats'!G290</f>
        <v>Japan</v>
      </c>
      <c r="G290" s="9">
        <f>'Detailed Car List + Stats'!H290</f>
        <v>600000</v>
      </c>
      <c r="H290" s="35" t="s">
        <v>678</v>
      </c>
      <c r="I290" s="5" t="str">
        <f>'Detailed Car List + Stats'!T290</f>
        <v>Collection Journal</v>
      </c>
      <c r="J290" s="21" t="str">
        <f>'Detailed Car List + Stats'!U290</f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6.5" customHeight="1">
      <c r="A291" s="6" t="str">
        <f>'Detailed Car List + Stats'!B291</f>
        <v>1994</v>
      </c>
      <c r="B291" s="6" t="str">
        <f>'Detailed Car List + Stats'!C291</f>
        <v>Honda</v>
      </c>
      <c r="C291" s="6" t="str">
        <f>'Detailed Car List + Stats'!D291</f>
        <v>Prelude Si</v>
      </c>
      <c r="D291" s="6" t="str">
        <f>'Detailed Car List + Stats'!E291</f>
        <v>Retro Hot Hatch</v>
      </c>
      <c r="E291" s="8" t="s">
        <v>680</v>
      </c>
      <c r="F291" s="6" t="str">
        <f>'Detailed Car List + Stats'!G291</f>
        <v>Japan</v>
      </c>
      <c r="G291" s="19">
        <f>'Detailed Car List + Stats'!H291</f>
        <v>15000</v>
      </c>
      <c r="H291" s="20" t="s">
        <v>33</v>
      </c>
      <c r="I291" s="6" t="str">
        <f>'Detailed Car List + Stats'!T291</f>
        <v>Autoshow, Collection Journal, Wheelspin</v>
      </c>
      <c r="J291" s="2" t="str">
        <f>'Detailed Car List + Stats'!U291</f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6.5" customHeight="1">
      <c r="A292" s="6" t="str">
        <f>'Detailed Car List + Stats'!B292</f>
        <v>2015</v>
      </c>
      <c r="B292" s="6" t="str">
        <f>'Detailed Car List + Stats'!C292</f>
        <v>Honda</v>
      </c>
      <c r="C292" s="6" t="str">
        <f>'Detailed Car List + Stats'!D292</f>
        <v>Ridgeline Baja Trophy Truck</v>
      </c>
      <c r="D292" s="6" t="str">
        <f>'Detailed Car List + Stats'!E292</f>
        <v>Unlimited Offroad</v>
      </c>
      <c r="E292" s="25" t="s">
        <v>284</v>
      </c>
      <c r="F292" s="6" t="str">
        <f>'Detailed Car List + Stats'!G292</f>
        <v>Japan</v>
      </c>
      <c r="G292" s="19">
        <f>'Detailed Car List + Stats'!H292</f>
        <v>400000</v>
      </c>
      <c r="H292" s="34" t="s">
        <v>62</v>
      </c>
      <c r="I292" s="6" t="str">
        <f>'Detailed Car List + Stats'!T292</f>
        <v>Autoshow, Wheelspin</v>
      </c>
      <c r="J292" s="2" t="str">
        <f>'Detailed Car List + Stats'!U292</f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6.5" customHeight="1">
      <c r="A293" s="6" t="str">
        <f>'Detailed Car List + Stats'!B293</f>
        <v>2003</v>
      </c>
      <c r="B293" s="6" t="str">
        <f>'Detailed Car List + Stats'!C293</f>
        <v>Honda</v>
      </c>
      <c r="C293" s="6" t="str">
        <f>'Detailed Car List + Stats'!D293</f>
        <v>S2000</v>
      </c>
      <c r="D293" s="6" t="str">
        <f>'Detailed Car List + Stats'!E293</f>
        <v>Modern Sports Cars</v>
      </c>
      <c r="E293" s="25" t="s">
        <v>683</v>
      </c>
      <c r="F293" s="6" t="str">
        <f>'Detailed Car List + Stats'!G293</f>
        <v>Japan</v>
      </c>
      <c r="G293" s="19">
        <f>'Detailed Car List + Stats'!H293</f>
        <v>55000</v>
      </c>
      <c r="H293" s="20" t="s">
        <v>33</v>
      </c>
      <c r="I293" s="6" t="str">
        <f>'Detailed Car List + Stats'!T293</f>
        <v>Autoshow, Wheelspin</v>
      </c>
      <c r="J293" s="2" t="str">
        <f>'Detailed Car List + Stats'!U293</f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6.5" customHeight="1">
      <c r="A294" s="6" t="str">
        <f>'Detailed Car List + Stats'!B294</f>
        <v>1970</v>
      </c>
      <c r="B294" s="6" t="str">
        <f>'Detailed Car List + Stats'!C294</f>
        <v>Honda</v>
      </c>
      <c r="C294" s="6" t="str">
        <f>'Detailed Car List + Stats'!D294</f>
        <v>S800</v>
      </c>
      <c r="D294" s="6" t="str">
        <f>'Detailed Car List + Stats'!E294</f>
        <v>Cult Cars</v>
      </c>
      <c r="E294" s="17" t="s">
        <v>685</v>
      </c>
      <c r="F294" s="6" t="str">
        <f>'Detailed Car List + Stats'!G294</f>
        <v>Japan</v>
      </c>
      <c r="G294" s="19">
        <f>'Detailed Car List + Stats'!H294</f>
        <v>40000</v>
      </c>
      <c r="H294" s="20" t="s">
        <v>33</v>
      </c>
      <c r="I294" s="6" t="str">
        <f>'Detailed Car List + Stats'!T294</f>
        <v>Autoshow, Wheelspin</v>
      </c>
      <c r="J294" s="2" t="str">
        <f>'Detailed Car List + Stats'!U294</f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6.5" customHeight="1">
      <c r="A295" s="37" t="str">
        <f>'Detailed Car List + Stats'!B295</f>
        <v>1972</v>
      </c>
      <c r="B295" s="37" t="str">
        <f>'Detailed Car List + Stats'!C295</f>
        <v>Honda</v>
      </c>
      <c r="C295" s="37" t="str">
        <f>'Detailed Car List + Stats'!D295</f>
        <v>Z GT</v>
      </c>
      <c r="D295" s="37" t="str">
        <f>'Detailed Car List + Stats'!E295</f>
        <v>Eclectic Domestics</v>
      </c>
      <c r="E295" s="17" t="s">
        <v>32</v>
      </c>
      <c r="F295" s="37" t="str">
        <f>'Detailed Car List + Stats'!G295</f>
        <v>Japan</v>
      </c>
      <c r="G295" s="38">
        <f>'Detailed Car List + Stats'!H295</f>
        <v>15000</v>
      </c>
      <c r="H295" s="20" t="s">
        <v>33</v>
      </c>
      <c r="I295" s="37" t="str">
        <f>'Detailed Car List + Stats'!T295</f>
        <v>Autoshow DLC</v>
      </c>
      <c r="J295" s="37" t="str">
        <f>'Detailed Car List + Stats'!U295</f>
        <v>Car Pass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6.5" customHeight="1">
      <c r="A296" s="6" t="str">
        <f>'Detailed Car List + Stats'!B296</f>
        <v>2014</v>
      </c>
      <c r="B296" s="6" t="str">
        <f>'Detailed Car List + Stats'!C296</f>
        <v>HSV</v>
      </c>
      <c r="C296" s="6" t="str">
        <f>'Detailed Car List + Stats'!D296</f>
        <v>GEN-F GTS</v>
      </c>
      <c r="D296" s="6" t="str">
        <f>'Detailed Car List + Stats'!E296</f>
        <v>Modern Muscle</v>
      </c>
      <c r="E296" s="36" t="s">
        <v>136</v>
      </c>
      <c r="F296" s="6" t="str">
        <f>'Detailed Car List + Stats'!G296</f>
        <v>Australia</v>
      </c>
      <c r="G296" s="19">
        <f>'Detailed Car List + Stats'!H296</f>
        <v>81000</v>
      </c>
      <c r="H296" s="10" t="s">
        <v>27</v>
      </c>
      <c r="I296" s="6" t="str">
        <f>'Detailed Car List + Stats'!T296</f>
        <v>Autoshow, Wheelspin</v>
      </c>
      <c r="J296" s="2" t="str">
        <f>'Detailed Car List + Stats'!U296</f>
        <v/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6.5" customHeight="1">
      <c r="A297" s="6" t="str">
        <f>'Detailed Car List + Stats'!B297</f>
        <v>2014</v>
      </c>
      <c r="B297" s="6" t="str">
        <f>'Detailed Car List + Stats'!C297</f>
        <v>HSV</v>
      </c>
      <c r="C297" s="6" t="str">
        <f>'Detailed Car List + Stats'!D297</f>
        <v>Limited Edition GEN-F GTS Maloo</v>
      </c>
      <c r="D297" s="6" t="str">
        <f>'Detailed Car List + Stats'!E297</f>
        <v>Utility Heroes</v>
      </c>
      <c r="E297" s="36" t="s">
        <v>690</v>
      </c>
      <c r="F297" s="6" t="str">
        <f>'Detailed Car List + Stats'!G297</f>
        <v>Australia</v>
      </c>
      <c r="G297" s="19">
        <f>'Detailed Car List + Stats'!H297</f>
        <v>65000</v>
      </c>
      <c r="H297" s="20" t="s">
        <v>33</v>
      </c>
      <c r="I297" s="6" t="str">
        <f>'Detailed Car List + Stats'!T297</f>
        <v>Autoshow, Wheelspin</v>
      </c>
      <c r="J297" s="2" t="str">
        <f>'Detailed Car List + Stats'!U297</f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6.5" customHeight="1">
      <c r="A298" s="6" t="str">
        <f>'Detailed Car List + Stats'!B298</f>
        <v>2021</v>
      </c>
      <c r="B298" s="6" t="str">
        <f>'Detailed Car List + Stats'!C298</f>
        <v>Hyundai</v>
      </c>
      <c r="C298" s="6" t="str">
        <f>'Detailed Car List + Stats'!D298</f>
        <v>i20 N</v>
      </c>
      <c r="D298" s="6" t="str">
        <f>'Detailed Car List + Stats'!E298</f>
        <v>Hot Hatch</v>
      </c>
      <c r="E298" s="25" t="s">
        <v>693</v>
      </c>
      <c r="F298" s="6" t="str">
        <f>'Detailed Car List + Stats'!G298</f>
        <v>Korea</v>
      </c>
      <c r="G298" s="19">
        <f>'Detailed Car List + Stats'!H298</f>
        <v>48000</v>
      </c>
      <c r="H298" s="10" t="s">
        <v>27</v>
      </c>
      <c r="I298" s="6" t="str">
        <f>'Detailed Car List + Stats'!T298</f>
        <v>Autoshow, Wheelspin</v>
      </c>
      <c r="J298" s="2" t="str">
        <f>'Detailed Car List + Stats'!U298</f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6.5" customHeight="1">
      <c r="A299" s="6" t="str">
        <f>'Detailed Car List + Stats'!B299</f>
        <v>2020</v>
      </c>
      <c r="B299" s="6" t="str">
        <f>'Detailed Car List + Stats'!C299</f>
        <v>Hyundai</v>
      </c>
      <c r="C299" s="6" t="str">
        <f>'Detailed Car List + Stats'!D299</f>
        <v>i30 N</v>
      </c>
      <c r="D299" s="6" t="str">
        <f>'Detailed Car List + Stats'!E299</f>
        <v>Super Hot Hatch</v>
      </c>
      <c r="E299" s="25" t="s">
        <v>696</v>
      </c>
      <c r="F299" s="6" t="str">
        <f>'Detailed Car List + Stats'!G299</f>
        <v>Korea</v>
      </c>
      <c r="G299" s="19">
        <f>'Detailed Car List + Stats'!H299</f>
        <v>32000</v>
      </c>
      <c r="H299" s="10" t="s">
        <v>27</v>
      </c>
      <c r="I299" s="6" t="str">
        <f>'Detailed Car List + Stats'!T299</f>
        <v>Autoshow, Wheelspin</v>
      </c>
      <c r="J299" s="2" t="str">
        <f>'Detailed Car List + Stats'!U299</f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6.5" customHeight="1">
      <c r="A300" s="6" t="str">
        <f>'Detailed Car List + Stats'!B300</f>
        <v>2023</v>
      </c>
      <c r="B300" s="6" t="str">
        <f>'Detailed Car List + Stats'!C300</f>
        <v>Hyundai</v>
      </c>
      <c r="C300" s="6" t="str">
        <f>'Detailed Car List + Stats'!D300</f>
        <v>IONIQ 5 N</v>
      </c>
      <c r="D300" s="6" t="str">
        <f>'Detailed Car List + Stats'!E300</f>
        <v>Sports Utility Heroes</v>
      </c>
      <c r="E300" s="36" t="s">
        <v>698</v>
      </c>
      <c r="F300" s="6" t="str">
        <f>'Detailed Car List + Stats'!G300</f>
        <v>Korea</v>
      </c>
      <c r="G300" s="19">
        <f>'Detailed Car List + Stats'!H300</f>
        <v>22000</v>
      </c>
      <c r="H300" s="10" t="s">
        <v>27</v>
      </c>
      <c r="I300" s="6" t="str">
        <f>'Detailed Car List + Stats'!T300</f>
        <v>Autoshow, Wheelspin</v>
      </c>
      <c r="J300" s="2" t="str">
        <f>'Detailed Car List + Stats'!U300</f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6.5" customHeight="1">
      <c r="A301" s="6" t="str">
        <f>'Detailed Car List + Stats'!B301</f>
        <v>2022</v>
      </c>
      <c r="B301" s="6" t="str">
        <f>'Detailed Car List + Stats'!C301</f>
        <v>Hyundai</v>
      </c>
      <c r="C301" s="6" t="str">
        <f>'Detailed Car List + Stats'!D301</f>
        <v>N Vision 74</v>
      </c>
      <c r="D301" s="6" t="str">
        <f>'Detailed Car List + Stats'!E301</f>
        <v>Track Toys</v>
      </c>
      <c r="E301" s="36" t="s">
        <v>700</v>
      </c>
      <c r="F301" s="6" t="str">
        <f>'Detailed Car List + Stats'!G301</f>
        <v>Korea</v>
      </c>
      <c r="G301" s="19">
        <f>'Detailed Car List + Stats'!H301</f>
        <v>325000</v>
      </c>
      <c r="H301" s="10" t="s">
        <v>27</v>
      </c>
      <c r="I301" s="6" t="str">
        <f>'Detailed Car List + Stats'!T301</f>
        <v>Autoshow, Wheelspin</v>
      </c>
      <c r="J301" s="2" t="str">
        <f>'Detailed Car List + Stats'!U301</f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6.5" customHeight="1">
      <c r="A302" s="6" t="str">
        <f>'Detailed Car List + Stats'!B302</f>
        <v>2019</v>
      </c>
      <c r="B302" s="6" t="str">
        <f>'Detailed Car List + Stats'!C302</f>
        <v>Hyundai</v>
      </c>
      <c r="C302" s="6" t="str">
        <f>'Detailed Car List + Stats'!D302</f>
        <v>Veloster N</v>
      </c>
      <c r="D302" s="6" t="str">
        <f>'Detailed Car List + Stats'!E302</f>
        <v>Super Hot Hatch</v>
      </c>
      <c r="E302" s="25" t="s">
        <v>102</v>
      </c>
      <c r="F302" s="6" t="str">
        <f>'Detailed Car List + Stats'!G302</f>
        <v>Korea</v>
      </c>
      <c r="G302" s="19">
        <f>'Detailed Car List + Stats'!H302</f>
        <v>20000</v>
      </c>
      <c r="H302" s="34" t="s">
        <v>62</v>
      </c>
      <c r="I302" s="6" t="str">
        <f>'Detailed Car List + Stats'!T302</f>
        <v>Autoshow, Wheelspin</v>
      </c>
      <c r="J302" s="2" t="str">
        <f>'Detailed Car List + Stats'!U302</f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6.5" customHeight="1">
      <c r="A303" s="6" t="str">
        <f>'Detailed Car List + Stats'!B303</f>
        <v>2010</v>
      </c>
      <c r="B303" s="6" t="str">
        <f>'Detailed Car List + Stats'!C303</f>
        <v>Jaguar</v>
      </c>
      <c r="C303" s="6" t="str">
        <f>'Detailed Car List + Stats'!D303</f>
        <v>C-X75</v>
      </c>
      <c r="D303" s="6" t="str">
        <f>'Detailed Car List + Stats'!E303</f>
        <v>Modern Supercars</v>
      </c>
      <c r="E303" s="50" t="s">
        <v>179</v>
      </c>
      <c r="F303" s="6" t="str">
        <f>'Detailed Car List + Stats'!G303</f>
        <v>UK</v>
      </c>
      <c r="G303" s="19">
        <f>'Detailed Car List + Stats'!H303</f>
        <v>3200000</v>
      </c>
      <c r="H303" s="35" t="s">
        <v>76</v>
      </c>
      <c r="I303" s="6" t="str">
        <f>'Detailed Car List + Stats'!T303</f>
        <v>Autoshow, Wheelspin</v>
      </c>
      <c r="J303" s="2" t="str">
        <f>'Detailed Car List + Stats'!U303</f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6.5" customHeight="1">
      <c r="A304" s="6" t="str">
        <f>'Detailed Car List + Stats'!B304</f>
        <v>1956</v>
      </c>
      <c r="B304" s="6" t="str">
        <f>'Detailed Car List + Stats'!C304</f>
        <v>Jaguar</v>
      </c>
      <c r="C304" s="6" t="str">
        <f>'Detailed Car List + Stats'!D304</f>
        <v>D-Type</v>
      </c>
      <c r="D304" s="6" t="str">
        <f>'Detailed Car List + Stats'!E304</f>
        <v>Classic Racers</v>
      </c>
      <c r="E304" s="25" t="s">
        <v>706</v>
      </c>
      <c r="F304" s="6" t="str">
        <f>'Detailed Car List + Stats'!G304</f>
        <v>UK</v>
      </c>
      <c r="G304" s="19">
        <f>'Detailed Car List + Stats'!H304</f>
        <v>4300000</v>
      </c>
      <c r="H304" s="35" t="s">
        <v>76</v>
      </c>
      <c r="I304" s="6" t="str">
        <f>'Detailed Car List + Stats'!T304</f>
        <v>Autoshow, Wheelspin</v>
      </c>
      <c r="J304" s="2" t="str">
        <f>'Detailed Car List + Stats'!U304</f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6.5" customHeight="1">
      <c r="A305" s="5" t="str">
        <f>'Detailed Car List + Stats'!B305</f>
        <v>1961</v>
      </c>
      <c r="B305" s="5" t="str">
        <f>'Detailed Car List + Stats'!C305</f>
        <v>Jaguar</v>
      </c>
      <c r="C305" s="5" t="str">
        <f>'Detailed Car List + Stats'!D305</f>
        <v>E-type</v>
      </c>
      <c r="D305" s="5" t="str">
        <f>'Detailed Car List + Stats'!E305</f>
        <v>Rare Classics</v>
      </c>
      <c r="E305" s="8" t="s">
        <v>709</v>
      </c>
      <c r="F305" s="5" t="str">
        <f>'Detailed Car List + Stats'!G305</f>
        <v>UK</v>
      </c>
      <c r="G305" s="9" t="str">
        <f>'Detailed Car List + Stats'!H305</f>
        <v/>
      </c>
      <c r="H305" s="48"/>
      <c r="I305" s="5" t="str">
        <f>'Detailed Car List + Stats'!T305</f>
        <v>Wheelspin, Seasonal</v>
      </c>
      <c r="J305" s="21" t="str">
        <f>'Detailed Car List + Stats'!U305</f>
        <v/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6.5" customHeight="1">
      <c r="A306" s="6" t="str">
        <f>'Detailed Car List + Stats'!B306</f>
        <v>1964</v>
      </c>
      <c r="B306" s="6" t="str">
        <f>'Detailed Car List + Stats'!C306</f>
        <v>Jaguar</v>
      </c>
      <c r="C306" s="6" t="str">
        <f>'Detailed Car List + Stats'!D306</f>
        <v>Lightweight E-Type</v>
      </c>
      <c r="D306" s="6" t="str">
        <f>'Detailed Car List + Stats'!E306</f>
        <v>Classic Racers</v>
      </c>
      <c r="E306" s="25" t="s">
        <v>317</v>
      </c>
      <c r="F306" s="6" t="str">
        <f>'Detailed Car List + Stats'!G306</f>
        <v>UK</v>
      </c>
      <c r="G306" s="19">
        <f>'Detailed Car List + Stats'!H306</f>
        <v>7900000</v>
      </c>
      <c r="H306" s="35" t="s">
        <v>76</v>
      </c>
      <c r="I306" s="6" t="str">
        <f>'Detailed Car List + Stats'!T306</f>
        <v>Autoshow, Wheelspin</v>
      </c>
      <c r="J306" s="2" t="str">
        <f>'Detailed Car List + Stats'!U306</f>
        <v/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6.5" customHeight="1">
      <c r="A307" s="6" t="str">
        <f>'Detailed Car List + Stats'!B307</f>
        <v>1991</v>
      </c>
      <c r="B307" s="6" t="str">
        <f>'Detailed Car List + Stats'!C307</f>
        <v>Jaguar</v>
      </c>
      <c r="C307" s="6" t="str">
        <f>'Detailed Car List + Stats'!D307</f>
        <v>Sport XJR-15</v>
      </c>
      <c r="D307" s="6" t="str">
        <f>'Detailed Car List + Stats'!E307</f>
        <v>Retro Supercars</v>
      </c>
      <c r="E307" s="32" t="s">
        <v>712</v>
      </c>
      <c r="F307" s="6" t="str">
        <f>'Detailed Car List + Stats'!G307</f>
        <v>UK</v>
      </c>
      <c r="G307" s="19">
        <f>'Detailed Car List + Stats'!H307</f>
        <v>950000</v>
      </c>
      <c r="H307" s="35" t="s">
        <v>76</v>
      </c>
      <c r="I307" s="6" t="str">
        <f>'Detailed Car List + Stats'!T307</f>
        <v>Autoshow, Collection Journal</v>
      </c>
      <c r="J307" s="2" t="str">
        <f>'Detailed Car List + Stats'!U307</f>
        <v/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6.5" customHeight="1">
      <c r="A308" s="6" t="str">
        <f>'Detailed Car List + Stats'!B308</f>
        <v>1993</v>
      </c>
      <c r="B308" s="6" t="str">
        <f>'Detailed Car List + Stats'!C308</f>
        <v>Jaguar</v>
      </c>
      <c r="C308" s="6" t="str">
        <f>'Detailed Car List + Stats'!D308</f>
        <v>XJ220</v>
      </c>
      <c r="D308" s="6" t="str">
        <f>'Detailed Car List + Stats'!E308</f>
        <v>Retro Supercars</v>
      </c>
      <c r="E308" s="36" t="s">
        <v>550</v>
      </c>
      <c r="F308" s="6" t="str">
        <f>'Detailed Car List + Stats'!G308</f>
        <v>UK</v>
      </c>
      <c r="G308" s="19">
        <f>'Detailed Car List + Stats'!H308</f>
        <v>570000</v>
      </c>
      <c r="H308" s="35" t="s">
        <v>76</v>
      </c>
      <c r="I308" s="6" t="str">
        <f>'Detailed Car List + Stats'!T308</f>
        <v>Autoshow, Wheelspin</v>
      </c>
      <c r="J308" s="2" t="str">
        <f>'Detailed Car List + Stats'!U308</f>
        <v/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6.5" customHeight="1">
      <c r="A309" s="6" t="str">
        <f>'Detailed Car List + Stats'!B309</f>
        <v>1993</v>
      </c>
      <c r="B309" s="6" t="str">
        <f>'Detailed Car List + Stats'!C309</f>
        <v>Jaguar</v>
      </c>
      <c r="C309" s="6" t="str">
        <f>'Detailed Car List + Stats'!D309</f>
        <v>XJ220S TWR</v>
      </c>
      <c r="D309" s="6" t="str">
        <f>'Detailed Car List + Stats'!E309</f>
        <v>Retro Supercars</v>
      </c>
      <c r="E309" s="32" t="s">
        <v>715</v>
      </c>
      <c r="F309" s="6" t="str">
        <f>'Detailed Car List + Stats'!G309</f>
        <v>UK</v>
      </c>
      <c r="G309" s="19">
        <f>'Detailed Car List + Stats'!H309</f>
        <v>540000</v>
      </c>
      <c r="H309" s="10" t="s">
        <v>27</v>
      </c>
      <c r="I309" s="6" t="str">
        <f>'Detailed Car List + Stats'!T309</f>
        <v>Autoshow, Wheelspin</v>
      </c>
      <c r="J309" s="2" t="str">
        <f>'Detailed Car List + Stats'!U309</f>
        <v/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6.5" customHeight="1">
      <c r="A310" s="6" t="str">
        <f>'Detailed Car List + Stats'!B310</f>
        <v>2018</v>
      </c>
      <c r="B310" s="6" t="str">
        <f>'Detailed Car List + Stats'!C310</f>
        <v>Jeep</v>
      </c>
      <c r="C310" s="6" t="str">
        <f>'Detailed Car List + Stats'!D310</f>
        <v>Grand Cherokee Trackhawk</v>
      </c>
      <c r="D310" s="6" t="str">
        <f>'Detailed Car List + Stats'!E310</f>
        <v>Sports Utility Heroes</v>
      </c>
      <c r="E310" s="36" t="s">
        <v>411</v>
      </c>
      <c r="F310" s="6" t="str">
        <f>'Detailed Car List + Stats'!G310</f>
        <v>USA</v>
      </c>
      <c r="G310" s="19">
        <f>'Detailed Car List + Stats'!H310</f>
        <v>72000</v>
      </c>
      <c r="H310" s="20" t="s">
        <v>33</v>
      </c>
      <c r="I310" s="6" t="str">
        <f>'Detailed Car List + Stats'!T310</f>
        <v>Autoshow, Wheelspin</v>
      </c>
      <c r="J310" s="2" t="str">
        <f>'Detailed Car List + Stats'!U310</f>
        <v/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6.5" customHeight="1">
      <c r="A311" s="6" t="str">
        <f>'Detailed Car List + Stats'!B311</f>
        <v>2020</v>
      </c>
      <c r="B311" s="6" t="str">
        <f>'Detailed Car List + Stats'!C311</f>
        <v>Jeep</v>
      </c>
      <c r="C311" s="6" t="str">
        <f>'Detailed Car List + Stats'!D311</f>
        <v>JT (Gladiator)</v>
      </c>
      <c r="D311" s="6" t="str">
        <f>'Detailed Car List + Stats'!E311</f>
        <v>Pickups &amp; 4x4s</v>
      </c>
      <c r="E311" s="17" t="s">
        <v>719</v>
      </c>
      <c r="F311" s="6" t="str">
        <f>'Detailed Car List + Stats'!G311</f>
        <v>USA</v>
      </c>
      <c r="G311" s="19">
        <f>'Detailed Car List + Stats'!H311</f>
        <v>36000</v>
      </c>
      <c r="H311" s="20" t="s">
        <v>33</v>
      </c>
      <c r="I311" s="6" t="str">
        <f>'Detailed Car List + Stats'!T311</f>
        <v>Autoshow, Wheelspin</v>
      </c>
      <c r="J311" s="2" t="str">
        <f>'Detailed Car List + Stats'!U311</f>
        <v/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6.5" customHeight="1">
      <c r="A312" s="6" t="str">
        <f>'Detailed Car List + Stats'!B312</f>
        <v>2016</v>
      </c>
      <c r="B312" s="6" t="str">
        <f>'Detailed Car List + Stats'!C312</f>
        <v>Jeep</v>
      </c>
      <c r="C312" s="6" t="str">
        <f>'Detailed Car List + Stats'!D312</f>
        <v>Trailcat</v>
      </c>
      <c r="D312" s="6" t="str">
        <f>'Detailed Car List + Stats'!E312</f>
        <v>Unlimited Offroad</v>
      </c>
      <c r="E312" s="36" t="s">
        <v>85</v>
      </c>
      <c r="F312" s="6" t="str">
        <f>'Detailed Car List + Stats'!G312</f>
        <v>USA</v>
      </c>
      <c r="G312" s="19">
        <f>'Detailed Car List + Stats'!H312</f>
        <v>70000</v>
      </c>
      <c r="H312" s="10" t="s">
        <v>27</v>
      </c>
      <c r="I312" s="6" t="str">
        <f>'Detailed Car List + Stats'!T312</f>
        <v>Autoshow, Wheelspin</v>
      </c>
      <c r="J312" s="2" t="str">
        <f>'Detailed Car List + Stats'!U312</f>
        <v/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6.5" customHeight="1">
      <c r="A313" s="6" t="str">
        <f>'Detailed Car List + Stats'!B313</f>
        <v>2012</v>
      </c>
      <c r="B313" s="6" t="str">
        <f>'Detailed Car List + Stats'!C313</f>
        <v>Jeep</v>
      </c>
      <c r="C313" s="6" t="str">
        <f>'Detailed Car List + Stats'!D313</f>
        <v>Wrangler Rubicon</v>
      </c>
      <c r="D313" s="6" t="str">
        <f>'Detailed Car List + Stats'!E313</f>
        <v>Pickups &amp; 4x4s</v>
      </c>
      <c r="E313" s="17" t="s">
        <v>722</v>
      </c>
      <c r="F313" s="6" t="str">
        <f>'Detailed Car List + Stats'!G313</f>
        <v>USA</v>
      </c>
      <c r="G313" s="19">
        <f>'Detailed Car List + Stats'!H313</f>
        <v>16000</v>
      </c>
      <c r="H313" s="20" t="s">
        <v>33</v>
      </c>
      <c r="I313" s="6" t="str">
        <f>'Detailed Car List + Stats'!T313</f>
        <v>Autoshow, Wheelspin</v>
      </c>
      <c r="J313" s="2" t="str">
        <f>'Detailed Car List + Stats'!U313</f>
        <v/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6.5" customHeight="1">
      <c r="A314" s="6" t="str">
        <f>'Detailed Car List + Stats'!B314</f>
        <v>2020</v>
      </c>
      <c r="B314" s="6" t="str">
        <f>'Detailed Car List + Stats'!C314</f>
        <v>Jimco</v>
      </c>
      <c r="C314" s="6" t="str">
        <f>'Detailed Car List + Stats'!D314</f>
        <v>#179 Hammerhead Class 1</v>
      </c>
      <c r="D314" s="6" t="str">
        <f>'Detailed Car List + Stats'!E314</f>
        <v>Unlimited Buggies</v>
      </c>
      <c r="E314" s="36" t="s">
        <v>286</v>
      </c>
      <c r="F314" s="6" t="str">
        <f>'Detailed Car List + Stats'!G314</f>
        <v>USA</v>
      </c>
      <c r="G314" s="19">
        <f>'Detailed Car List + Stats'!H314</f>
        <v>95000</v>
      </c>
      <c r="H314" s="10" t="s">
        <v>27</v>
      </c>
      <c r="I314" s="6" t="str">
        <f>'Detailed Car List + Stats'!T314</f>
        <v>Autoshow, Wheelspin</v>
      </c>
      <c r="J314" s="2" t="str">
        <f>'Detailed Car List + Stats'!U314</f>
        <v/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6.5" customHeight="1">
      <c r="A315" s="6" t="str">
        <f>'Detailed Car List + Stats'!B315</f>
        <v>2019</v>
      </c>
      <c r="B315" s="6" t="str">
        <f>'Detailed Car List + Stats'!C315</f>
        <v>Jimco</v>
      </c>
      <c r="C315" s="6" t="str">
        <f>'Detailed Car List + Stats'!D315</f>
        <v>#240 Fastball Racing Class 6100 Spec Trophy Truck</v>
      </c>
      <c r="D315" s="6" t="str">
        <f>'Detailed Car List + Stats'!E315</f>
        <v>Unlimited Offroad</v>
      </c>
      <c r="E315" s="25" t="s">
        <v>726</v>
      </c>
      <c r="F315" s="6" t="str">
        <f>'Detailed Car List + Stats'!G315</f>
        <v>USA</v>
      </c>
      <c r="G315" s="19">
        <f>'Detailed Car List + Stats'!H315</f>
        <v>350000</v>
      </c>
      <c r="H315" s="34" t="s">
        <v>62</v>
      </c>
      <c r="I315" s="6" t="str">
        <f>'Detailed Car List + Stats'!T315</f>
        <v>Autoshow, Wheelspin</v>
      </c>
      <c r="J315" s="2" t="str">
        <f>'Detailed Car List + Stats'!U315</f>
        <v/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6.5" customHeight="1">
      <c r="A316" s="6" t="str">
        <f>'Detailed Car List + Stats'!B316</f>
        <v>2011</v>
      </c>
      <c r="B316" s="6" t="str">
        <f>'Detailed Car List + Stats'!C316</f>
        <v>Koenigsegg</v>
      </c>
      <c r="C316" s="6" t="str">
        <f>'Detailed Car List + Stats'!D316</f>
        <v>Agera</v>
      </c>
      <c r="D316" s="6" t="str">
        <f>'Detailed Car List + Stats'!E316</f>
        <v>Hypercars</v>
      </c>
      <c r="E316" s="50" t="s">
        <v>179</v>
      </c>
      <c r="F316" s="6" t="str">
        <f>'Detailed Car List + Stats'!G316</f>
        <v>Sweden</v>
      </c>
      <c r="G316" s="19">
        <f>'Detailed Car List + Stats'!H316</f>
        <v>1950000</v>
      </c>
      <c r="H316" s="35" t="s">
        <v>76</v>
      </c>
      <c r="I316" s="6" t="str">
        <f>'Detailed Car List + Stats'!T316</f>
        <v>Autoshow, Wheelspin</v>
      </c>
      <c r="J316" s="2" t="str">
        <f>'Detailed Car List + Stats'!U316</f>
        <v/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6.5" customHeight="1">
      <c r="A317" s="6" t="str">
        <f>'Detailed Car List + Stats'!B317</f>
        <v>2017</v>
      </c>
      <c r="B317" s="6" t="str">
        <f>'Detailed Car List + Stats'!C317</f>
        <v>Koenigsegg</v>
      </c>
      <c r="C317" s="6" t="str">
        <f>'Detailed Car List + Stats'!D317</f>
        <v>Agera RS</v>
      </c>
      <c r="D317" s="6" t="str">
        <f>'Detailed Car List + Stats'!E317</f>
        <v>Hypercars</v>
      </c>
      <c r="E317" s="50" t="s">
        <v>731</v>
      </c>
      <c r="F317" s="6" t="str">
        <f>'Detailed Car List + Stats'!G317</f>
        <v>Sweden</v>
      </c>
      <c r="G317" s="19">
        <f>'Detailed Car List + Stats'!H317</f>
        <v>2900000</v>
      </c>
      <c r="H317" s="35" t="s">
        <v>76</v>
      </c>
      <c r="I317" s="6" t="str">
        <f>'Detailed Car List + Stats'!T317</f>
        <v>Autoshow, Collection Journal</v>
      </c>
      <c r="J317" s="2" t="str">
        <f>'Detailed Car List + Stats'!U317</f>
        <v/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6.5" customHeight="1">
      <c r="A318" s="6" t="str">
        <f>'Detailed Car List + Stats'!B318</f>
        <v>2008</v>
      </c>
      <c r="B318" s="6" t="str">
        <f>'Detailed Car List + Stats'!C318</f>
        <v>Koenigsegg</v>
      </c>
      <c r="C318" s="6" t="str">
        <f>'Detailed Car List + Stats'!D318</f>
        <v>CCGT</v>
      </c>
      <c r="D318" s="6" t="str">
        <f>'Detailed Car List + Stats'!E318</f>
        <v>Extreme Track Toys</v>
      </c>
      <c r="E318" s="50" t="s">
        <v>488</v>
      </c>
      <c r="F318" s="6" t="str">
        <f>'Detailed Car List + Stats'!G318</f>
        <v>Sweden</v>
      </c>
      <c r="G318" s="19">
        <f>'Detailed Car List + Stats'!H318</f>
        <v>3400000</v>
      </c>
      <c r="H318" s="35" t="s">
        <v>76</v>
      </c>
      <c r="I318" s="6" t="str">
        <f>'Detailed Car List + Stats'!T318</f>
        <v>Autoshow, Wheelspin</v>
      </c>
      <c r="J318" s="2" t="str">
        <f>'Detailed Car List + Stats'!U318</f>
        <v/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6.5" customHeight="1">
      <c r="A319" s="37" t="str">
        <f>'Detailed Car List + Stats'!B319</f>
        <v>2024</v>
      </c>
      <c r="B319" s="37" t="str">
        <f>'Detailed Car List + Stats'!C319</f>
        <v>Koenigsegg</v>
      </c>
      <c r="C319" s="37" t="str">
        <f>'Detailed Car List + Stats'!D319</f>
        <v>Gemera</v>
      </c>
      <c r="D319" s="37" t="str">
        <f>'Detailed Car List + Stats'!E319</f>
        <v>Hypercars</v>
      </c>
      <c r="E319" s="50" t="s">
        <v>488</v>
      </c>
      <c r="F319" s="37" t="str">
        <f>'Detailed Car List + Stats'!G319</f>
        <v>Sweden</v>
      </c>
      <c r="G319" s="38">
        <f>'Detailed Car List + Stats'!H319</f>
        <v>2000000</v>
      </c>
      <c r="H319" s="34" t="s">
        <v>62</v>
      </c>
      <c r="I319" s="37" t="str">
        <f>'Detailed Car List + Stats'!T319</f>
        <v>Autoshow DLC</v>
      </c>
      <c r="J319" s="37" t="str">
        <f>'Detailed Car List + Stats'!U319</f>
        <v>Car Pass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6.5" customHeight="1">
      <c r="A320" s="6" t="str">
        <f>'Detailed Car List + Stats'!B320</f>
        <v>2020</v>
      </c>
      <c r="B320" s="6" t="str">
        <f>'Detailed Car List + Stats'!C320</f>
        <v>Koenigsegg</v>
      </c>
      <c r="C320" s="6" t="str">
        <f>'Detailed Car List + Stats'!D320</f>
        <v>Jesko</v>
      </c>
      <c r="D320" s="6" t="str">
        <f>'Detailed Car List + Stats'!E320</f>
        <v>Hypercars</v>
      </c>
      <c r="E320" s="50" t="s">
        <v>735</v>
      </c>
      <c r="F320" s="6" t="str">
        <f>'Detailed Car List + Stats'!G320</f>
        <v>Sweden</v>
      </c>
      <c r="G320" s="19">
        <f>'Detailed Car List + Stats'!H320</f>
        <v>3500000</v>
      </c>
      <c r="H320" s="35" t="s">
        <v>76</v>
      </c>
      <c r="I320" s="6" t="str">
        <f>'Detailed Car List + Stats'!T320</f>
        <v>Autoshow, Wheelspin</v>
      </c>
      <c r="J320" s="2" t="str">
        <f>'Detailed Car List + Stats'!U320</f>
        <v/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6.5" customHeight="1">
      <c r="A321" s="5" t="str">
        <f>'Detailed Car List + Stats'!B321</f>
        <v>2015</v>
      </c>
      <c r="B321" s="5" t="str">
        <f>'Detailed Car List + Stats'!C321</f>
        <v>Koenigsegg</v>
      </c>
      <c r="C321" s="5" t="str">
        <f>'Detailed Car List + Stats'!D321</f>
        <v>One:1</v>
      </c>
      <c r="D321" s="5" t="str">
        <f>'Detailed Car List + Stats'!E321</f>
        <v>Hypercars</v>
      </c>
      <c r="E321" s="50" t="s">
        <v>731</v>
      </c>
      <c r="F321" s="5" t="str">
        <f>'Detailed Car List + Stats'!G321</f>
        <v>Sweden</v>
      </c>
      <c r="G321" s="9" t="str">
        <f>'Detailed Car List + Stats'!H321</f>
        <v/>
      </c>
      <c r="H321" s="48"/>
      <c r="I321" s="5" t="str">
        <f>'Detailed Car List + Stats'!T321</f>
        <v>Wheelspin, Seasonal</v>
      </c>
      <c r="J321" s="21" t="str">
        <f>'Detailed Car List + Stats'!U321</f>
        <v/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6.5" customHeight="1">
      <c r="A322" s="6" t="str">
        <f>'Detailed Car List + Stats'!B322</f>
        <v>2016</v>
      </c>
      <c r="B322" s="6" t="str">
        <f>'Detailed Car List + Stats'!C322</f>
        <v>Koenigsegg</v>
      </c>
      <c r="C322" s="6" t="str">
        <f>'Detailed Car List + Stats'!D322</f>
        <v>Regera</v>
      </c>
      <c r="D322" s="6" t="str">
        <f>'Detailed Car List + Stats'!E322</f>
        <v>Hypercars</v>
      </c>
      <c r="E322" s="50" t="s">
        <v>738</v>
      </c>
      <c r="F322" s="6" t="str">
        <f>'Detailed Car List + Stats'!G322</f>
        <v>Sweden</v>
      </c>
      <c r="G322" s="19">
        <f>'Detailed Car List + Stats'!H322</f>
        <v>2550000</v>
      </c>
      <c r="H322" s="35" t="s">
        <v>76</v>
      </c>
      <c r="I322" s="6" t="str">
        <f>'Detailed Car List + Stats'!T322</f>
        <v>Autoshow</v>
      </c>
      <c r="J322" s="2" t="str">
        <f>'Detailed Car List + Stats'!U322</f>
        <v/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6.5" customHeight="1">
      <c r="A323" s="6" t="str">
        <f>'Detailed Car List + Stats'!B323</f>
        <v>2018</v>
      </c>
      <c r="B323" s="6" t="str">
        <f>'Detailed Car List + Stats'!C323</f>
        <v>KTM</v>
      </c>
      <c r="C323" s="6" t="str">
        <f>'Detailed Car List + Stats'!D323</f>
        <v>X-Bow GT4</v>
      </c>
      <c r="D323" s="6" t="str">
        <f>'Detailed Car List + Stats'!E323</f>
        <v>Extreme Track Toys</v>
      </c>
      <c r="E323" s="32" t="s">
        <v>741</v>
      </c>
      <c r="F323" s="6" t="str">
        <f>'Detailed Car List + Stats'!G323</f>
        <v>Austria</v>
      </c>
      <c r="G323" s="19">
        <f>'Detailed Car List + Stats'!H323</f>
        <v>90000</v>
      </c>
      <c r="H323" s="34" t="s">
        <v>62</v>
      </c>
      <c r="I323" s="6" t="str">
        <f>'Detailed Car List + Stats'!T323</f>
        <v>Autoshow, Wheelspin</v>
      </c>
      <c r="J323" s="2" t="str">
        <f>'Detailed Car List + Stats'!U323</f>
        <v/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6.5" customHeight="1">
      <c r="A324" s="5" t="str">
        <f>'Detailed Car List + Stats'!B324</f>
        <v>2022</v>
      </c>
      <c r="B324" s="5" t="str">
        <f>'Detailed Car List + Stats'!C324</f>
        <v>Lamborghini</v>
      </c>
      <c r="C324" s="5" t="str">
        <f>'Detailed Car List + Stats'!D324</f>
        <v>Aventador LP 780-4 Ultimae</v>
      </c>
      <c r="D324" s="5" t="str">
        <f>'Detailed Car List + Stats'!E324</f>
        <v>Hypercars</v>
      </c>
      <c r="E324" s="32" t="s">
        <v>745</v>
      </c>
      <c r="F324" s="5" t="str">
        <f>'Detailed Car List + Stats'!G324</f>
        <v>Italy</v>
      </c>
      <c r="G324" s="9">
        <f>'Detailed Car List + Stats'!H324</f>
        <v>800000</v>
      </c>
      <c r="H324" s="35" t="s">
        <v>76</v>
      </c>
      <c r="I324" s="5" t="str">
        <f>'Detailed Car List + Stats'!T324</f>
        <v>Seasonal</v>
      </c>
      <c r="J324" s="21" t="str">
        <f>'Detailed Car List + Stats'!U324</f>
        <v/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6.5" customHeight="1">
      <c r="A325" s="5" t="str">
        <f>'Detailed Car List + Stats'!B325</f>
        <v>2012</v>
      </c>
      <c r="B325" s="5" t="str">
        <f>'Detailed Car List + Stats'!C325</f>
        <v>Lamborghini</v>
      </c>
      <c r="C325" s="5" t="str">
        <f>'Detailed Car List + Stats'!D325</f>
        <v>Aventador LP700-4</v>
      </c>
      <c r="D325" s="5" t="str">
        <f>'Detailed Car List + Stats'!E325</f>
        <v>Hypercars</v>
      </c>
      <c r="E325" s="32" t="s">
        <v>747</v>
      </c>
      <c r="F325" s="5" t="str">
        <f>'Detailed Car List + Stats'!G325</f>
        <v>Italy</v>
      </c>
      <c r="G325" s="9" t="str">
        <f>'Detailed Car List + Stats'!H325</f>
        <v/>
      </c>
      <c r="H325" s="48"/>
      <c r="I325" s="5" t="str">
        <f>'Detailed Car List + Stats'!T325</f>
        <v>Wheelspin, Seasonal</v>
      </c>
      <c r="J325" s="21" t="str">
        <f>'Detailed Car List + Stats'!U325</f>
        <v/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6.5" customHeight="1">
      <c r="A326" s="6" t="str">
        <f>'Detailed Car List + Stats'!B326</f>
        <v>2018</v>
      </c>
      <c r="B326" s="6" t="str">
        <f>'Detailed Car List + Stats'!C326</f>
        <v>Lamborghini</v>
      </c>
      <c r="C326" s="6" t="str">
        <f>'Detailed Car List + Stats'!D326</f>
        <v>Aventador SVJ</v>
      </c>
      <c r="D326" s="6" t="str">
        <f>'Detailed Car List + Stats'!E326</f>
        <v>Hypercars</v>
      </c>
      <c r="E326" s="32" t="s">
        <v>745</v>
      </c>
      <c r="F326" s="6" t="str">
        <f>'Detailed Car List + Stats'!G326</f>
        <v>Italy</v>
      </c>
      <c r="G326" s="19">
        <f>'Detailed Car List + Stats'!H326</f>
        <v>1200000</v>
      </c>
      <c r="H326" s="35" t="s">
        <v>76</v>
      </c>
      <c r="I326" s="6" t="str">
        <f>'Detailed Car List + Stats'!T326</f>
        <v>Autoshow, Wheelspin</v>
      </c>
      <c r="J326" s="2" t="str">
        <f>'Detailed Car List + Stats'!U326</f>
        <v/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6.5" customHeight="1">
      <c r="A327" s="6" t="str">
        <f>'Detailed Car List + Stats'!B327</f>
        <v>2016</v>
      </c>
      <c r="B327" s="6" t="str">
        <f>'Detailed Car List + Stats'!C327</f>
        <v>Lamborghini</v>
      </c>
      <c r="C327" s="6" t="str">
        <f>'Detailed Car List + Stats'!D327</f>
        <v>Centenario LP 770-4</v>
      </c>
      <c r="D327" s="6" t="str">
        <f>'Detailed Car List + Stats'!E327</f>
        <v>Hypercars</v>
      </c>
      <c r="E327" s="32" t="s">
        <v>750</v>
      </c>
      <c r="F327" s="6" t="str">
        <f>'Detailed Car List + Stats'!G327</f>
        <v>Italy</v>
      </c>
      <c r="G327" s="19">
        <f>'Detailed Car List + Stats'!H327</f>
        <v>150000</v>
      </c>
      <c r="H327" s="35" t="s">
        <v>76</v>
      </c>
      <c r="I327" s="6" t="str">
        <f>'Detailed Car List + Stats'!T327</f>
        <v>Autoshow, Wheelspin, Loyalty</v>
      </c>
      <c r="J327" s="2" t="str">
        <f>'Detailed Car List + Stats'!U327</f>
        <v/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6.5" customHeight="1">
      <c r="A328" s="5" t="str">
        <f>'Detailed Car List + Stats'!B328</f>
        <v>1988</v>
      </c>
      <c r="B328" s="5" t="str">
        <f>'Detailed Car List + Stats'!C328</f>
        <v>Lamborghini</v>
      </c>
      <c r="C328" s="5" t="str">
        <f>'Detailed Car List + Stats'!D328</f>
        <v>Countach LP5000 QV</v>
      </c>
      <c r="D328" s="5" t="str">
        <f>'Detailed Car List + Stats'!E328</f>
        <v>Retro Supercars</v>
      </c>
      <c r="E328" s="36" t="s">
        <v>752</v>
      </c>
      <c r="F328" s="5" t="str">
        <f>'Detailed Car List + Stats'!G328</f>
        <v>Italy</v>
      </c>
      <c r="G328" s="9">
        <f>'Detailed Car List + Stats'!H328</f>
        <v>600000</v>
      </c>
      <c r="H328" s="34" t="s">
        <v>62</v>
      </c>
      <c r="I328" s="5" t="str">
        <f>'Detailed Car List + Stats'!T328</f>
        <v>Seasonal</v>
      </c>
      <c r="J328" s="21" t="str">
        <f>'Detailed Car List + Stats'!U328</f>
        <v/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6.5" customHeight="1">
      <c r="A329" s="6" t="str">
        <f>'Detailed Car List + Stats'!B329</f>
        <v>2021</v>
      </c>
      <c r="B329" s="6" t="str">
        <f>'Detailed Car List + Stats'!C329</f>
        <v>Lamborghini</v>
      </c>
      <c r="C329" s="6" t="str">
        <f>'Detailed Car List + Stats'!D329</f>
        <v>Countach LPI 800-4</v>
      </c>
      <c r="D329" s="6" t="str">
        <f>'Detailed Car List + Stats'!E329</f>
        <v>Hypercars</v>
      </c>
      <c r="E329" s="32" t="s">
        <v>502</v>
      </c>
      <c r="F329" s="6" t="str">
        <f>'Detailed Car List + Stats'!G329</f>
        <v>Italy</v>
      </c>
      <c r="G329" s="19">
        <f>'Detailed Car List + Stats'!H329</f>
        <v>2100000</v>
      </c>
      <c r="H329" s="35" t="s">
        <v>76</v>
      </c>
      <c r="I329" s="6" t="str">
        <f>'Detailed Car List + Stats'!T329</f>
        <v>Autoshow, Wheelspin</v>
      </c>
      <c r="J329" s="2" t="str">
        <f>'Detailed Car List + Stats'!U329</f>
        <v/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6.5" customHeight="1">
      <c r="A330" s="5" t="str">
        <f>'Detailed Car List + Stats'!B330</f>
        <v>1999</v>
      </c>
      <c r="B330" s="5" t="str">
        <f>'Detailed Car List + Stats'!C330</f>
        <v>Lamborghini</v>
      </c>
      <c r="C330" s="5" t="str">
        <f>'Detailed Car List + Stats'!D330</f>
        <v>Diablo GTR</v>
      </c>
      <c r="D330" s="5" t="str">
        <f>'Detailed Car List + Stats'!E330</f>
        <v>Extreme Track Toys</v>
      </c>
      <c r="E330" s="50" t="s">
        <v>755</v>
      </c>
      <c r="F330" s="5" t="str">
        <f>'Detailed Car List + Stats'!G330</f>
        <v>Italy</v>
      </c>
      <c r="G330" s="9">
        <f>'Detailed Car List + Stats'!H330</f>
        <v>680000</v>
      </c>
      <c r="H330" s="34" t="s">
        <v>62</v>
      </c>
      <c r="I330" s="5" t="str">
        <f>'Detailed Car List + Stats'!T330</f>
        <v>Wheelspin, Seasonal</v>
      </c>
      <c r="J330" s="21" t="str">
        <f>'Detailed Car List + Stats'!U330</f>
        <v/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6.5" customHeight="1">
      <c r="A331" s="5" t="str">
        <f>'Detailed Car List + Stats'!B331</f>
        <v>1997</v>
      </c>
      <c r="B331" s="5" t="str">
        <f>'Detailed Car List + Stats'!C331</f>
        <v>Lamborghini</v>
      </c>
      <c r="C331" s="5" t="str">
        <f>'Detailed Car List + Stats'!D331</f>
        <v>Diablo SV</v>
      </c>
      <c r="D331" s="5" t="str">
        <f>'Detailed Car List + Stats'!E331</f>
        <v>Retro Supercars</v>
      </c>
      <c r="E331" s="36" t="s">
        <v>237</v>
      </c>
      <c r="F331" s="5" t="str">
        <f>'Detailed Car List + Stats'!G331</f>
        <v>Italy</v>
      </c>
      <c r="G331" s="9">
        <f>'Detailed Car List + Stats'!H331</f>
        <v>375000</v>
      </c>
      <c r="H331" s="35" t="s">
        <v>678</v>
      </c>
      <c r="I331" s="5" t="str">
        <f>'Detailed Car List + Stats'!T331</f>
        <v>Collection Journal</v>
      </c>
      <c r="J331" s="21" t="str">
        <f>'Detailed Car List + Stats'!U331</f>
        <v/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6.5" customHeight="1">
      <c r="A332" s="6" t="str">
        <f>'Detailed Car List + Stats'!B332</f>
        <v>2020</v>
      </c>
      <c r="B332" s="6" t="str">
        <f>'Detailed Car List + Stats'!C332</f>
        <v>Lamborghini</v>
      </c>
      <c r="C332" s="6" t="str">
        <f>'Detailed Car List + Stats'!D332</f>
        <v>Essenza SCV12</v>
      </c>
      <c r="D332" s="6" t="str">
        <f>'Detailed Car List + Stats'!E332</f>
        <v>Extreme Track Toys</v>
      </c>
      <c r="E332" s="49" t="s">
        <v>758</v>
      </c>
      <c r="F332" s="6" t="str">
        <f>'Detailed Car List + Stats'!G332</f>
        <v>Italy</v>
      </c>
      <c r="G332" s="19">
        <f>'Detailed Car List + Stats'!H332</f>
        <v>1500000</v>
      </c>
      <c r="H332" s="35" t="s">
        <v>76</v>
      </c>
      <c r="I332" s="6" t="str">
        <f>'Detailed Car List + Stats'!T332</f>
        <v>Autoshow, Wheelspin</v>
      </c>
      <c r="J332" s="2" t="str">
        <f>'Detailed Car List + Stats'!U332</f>
        <v/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6.5" customHeight="1">
      <c r="A333" s="6" t="str">
        <f>'Detailed Car List + Stats'!B333</f>
        <v>2012</v>
      </c>
      <c r="B333" s="6" t="str">
        <f>'Detailed Car List + Stats'!C333</f>
        <v>Lamborghini</v>
      </c>
      <c r="C333" s="6" t="str">
        <f>'Detailed Car List + Stats'!D333</f>
        <v>Gallardo LP570-4 Spider Performante</v>
      </c>
      <c r="D333" s="6" t="str">
        <f>'Detailed Car List + Stats'!E333</f>
        <v>Modern Supercars</v>
      </c>
      <c r="E333" s="36" t="s">
        <v>760</v>
      </c>
      <c r="F333" s="6" t="str">
        <f>'Detailed Car List + Stats'!G333</f>
        <v>Italy</v>
      </c>
      <c r="G333" s="19">
        <f>'Detailed Car List + Stats'!H333</f>
        <v>210000</v>
      </c>
      <c r="H333" s="34" t="s">
        <v>62</v>
      </c>
      <c r="I333" s="6" t="str">
        <f>'Detailed Car List + Stats'!T333</f>
        <v>Autoshow, Wheelspin</v>
      </c>
      <c r="J333" s="2" t="str">
        <f>'Detailed Car List + Stats'!U333</f>
        <v/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6.5" customHeight="1">
      <c r="A334" s="5" t="str">
        <f>'Detailed Car List + Stats'!B334</f>
        <v>2020</v>
      </c>
      <c r="B334" s="5" t="str">
        <f>'Detailed Car List + Stats'!C334</f>
        <v>Lamborghini</v>
      </c>
      <c r="C334" s="5" t="str">
        <f>'Detailed Car List + Stats'!D334</f>
        <v>Huracán EVO</v>
      </c>
      <c r="D334" s="5" t="str">
        <f>'Detailed Car List + Stats'!E334</f>
        <v>Modern Supercars</v>
      </c>
      <c r="E334" s="32" t="s">
        <v>762</v>
      </c>
      <c r="F334" s="5" t="str">
        <f>'Detailed Car List + Stats'!G334</f>
        <v>Italy</v>
      </c>
      <c r="G334" s="9">
        <f>'Detailed Car List + Stats'!H334</f>
        <v>250000</v>
      </c>
      <c r="H334" s="34" t="s">
        <v>62</v>
      </c>
      <c r="I334" s="5" t="str">
        <f>'Detailed Car List + Stats'!T334</f>
        <v>Seasonal</v>
      </c>
      <c r="J334" s="21" t="str">
        <f>'Detailed Car List + Stats'!U334</f>
        <v/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6.5" customHeight="1">
      <c r="A335" s="5" t="str">
        <f>'Detailed Car List + Stats'!B335</f>
        <v>2022</v>
      </c>
      <c r="B335" s="5" t="str">
        <f>'Detailed Car List + Stats'!C335</f>
        <v>Lamborghini</v>
      </c>
      <c r="C335" s="5" t="str">
        <f>'Detailed Car List + Stats'!D335</f>
        <v>Huracán EVO Spider</v>
      </c>
      <c r="D335" s="5" t="str">
        <f>'Detailed Car List + Stats'!E335</f>
        <v>Modern Supercars</v>
      </c>
      <c r="E335" s="32" t="s">
        <v>551</v>
      </c>
      <c r="F335" s="5" t="str">
        <f>'Detailed Car List + Stats'!G335</f>
        <v>Italy</v>
      </c>
      <c r="G335" s="9">
        <f>'Detailed Car List + Stats'!H335</f>
        <v>325000</v>
      </c>
      <c r="H335" s="10" t="s">
        <v>27</v>
      </c>
      <c r="I335" s="5" t="str">
        <f>'Detailed Car List + Stats'!T335</f>
        <v>Seasonal</v>
      </c>
      <c r="J335" s="21" t="str">
        <f>'Detailed Car List + Stats'!U335</f>
        <v/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6.5" customHeight="1">
      <c r="A336" s="6" t="str">
        <f>'Detailed Car List + Stats'!B336</f>
        <v>2014</v>
      </c>
      <c r="B336" s="6" t="str">
        <f>'Detailed Car List + Stats'!C336</f>
        <v>Lamborghini</v>
      </c>
      <c r="C336" s="6" t="str">
        <f>'Detailed Car List + Stats'!D336</f>
        <v>Huracán LP 610-4</v>
      </c>
      <c r="D336" s="6" t="str">
        <f>'Detailed Car List + Stats'!E336</f>
        <v>Modern Supercars</v>
      </c>
      <c r="E336" s="32" t="s">
        <v>182</v>
      </c>
      <c r="F336" s="6" t="str">
        <f>'Detailed Car List + Stats'!G336</f>
        <v>Italy</v>
      </c>
      <c r="G336" s="19">
        <f>'Detailed Car List + Stats'!H336</f>
        <v>200000</v>
      </c>
      <c r="H336" s="34" t="s">
        <v>62</v>
      </c>
      <c r="I336" s="6" t="str">
        <f>'Detailed Car List + Stats'!T336</f>
        <v>Autoshow, Wheelspin, Loyalty</v>
      </c>
      <c r="J336" s="2" t="str">
        <f>'Detailed Car List + Stats'!U336</f>
        <v/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6.5" customHeight="1">
      <c r="A337" s="5" t="str">
        <f>'Detailed Car List + Stats'!B337</f>
        <v>2022</v>
      </c>
      <c r="B337" s="5" t="str">
        <f>'Detailed Car List + Stats'!C337</f>
        <v>Lamborghini</v>
      </c>
      <c r="C337" s="5" t="str">
        <f>'Detailed Car List + Stats'!D337</f>
        <v>Huracán Sterrato</v>
      </c>
      <c r="D337" s="5" t="str">
        <f>'Detailed Car List + Stats'!E337</f>
        <v>Rally Monsters</v>
      </c>
      <c r="E337" s="32" t="s">
        <v>182</v>
      </c>
      <c r="F337" s="5" t="str">
        <f>'Detailed Car List + Stats'!G337</f>
        <v>Italy</v>
      </c>
      <c r="G337" s="9" t="str">
        <f>'Detailed Car List + Stats'!H337</f>
        <v/>
      </c>
      <c r="H337" s="48"/>
      <c r="I337" s="5" t="str">
        <f>'Detailed Car List + Stats'!T337</f>
        <v>Collection Journal, Seasonal</v>
      </c>
      <c r="J337" s="21" t="str">
        <f>'Detailed Car List + Stats'!U337</f>
        <v/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6.5" customHeight="1">
      <c r="A338" s="6" t="str">
        <f>'Detailed Car List + Stats'!B338</f>
        <v>2020</v>
      </c>
      <c r="B338" s="6" t="str">
        <f>'Detailed Car List + Stats'!C338</f>
        <v>Lamborghini</v>
      </c>
      <c r="C338" s="6" t="str">
        <f>'Detailed Car List + Stats'!D338</f>
        <v>Huracán STO</v>
      </c>
      <c r="D338" s="6" t="str">
        <f>'Detailed Car List + Stats'!E338</f>
        <v>Track Toys</v>
      </c>
      <c r="E338" s="32" t="s">
        <v>604</v>
      </c>
      <c r="F338" s="6" t="str">
        <f>'Detailed Car List + Stats'!G338</f>
        <v>Italy</v>
      </c>
      <c r="G338" s="19">
        <f>'Detailed Car List + Stats'!H338</f>
        <v>325000</v>
      </c>
      <c r="H338" s="35" t="s">
        <v>76</v>
      </c>
      <c r="I338" s="6" t="str">
        <f>'Detailed Car List + Stats'!T338</f>
        <v>Autoshow, Wheelspin</v>
      </c>
      <c r="J338" s="2" t="str">
        <f>'Detailed Car List + Stats'!U338</f>
        <v/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6.5" customHeight="1">
      <c r="A339" s="6" t="str">
        <f>'Detailed Car List + Stats'!B339</f>
        <v>2022</v>
      </c>
      <c r="B339" s="6" t="str">
        <f>'Detailed Car List + Stats'!C339</f>
        <v>Lamborghini</v>
      </c>
      <c r="C339" s="6" t="str">
        <f>'Detailed Car List + Stats'!D339</f>
        <v>Huracán Tecnica</v>
      </c>
      <c r="D339" s="6" t="str">
        <f>'Detailed Car List + Stats'!E339</f>
        <v>Modern Supercars</v>
      </c>
      <c r="E339" s="32" t="s">
        <v>768</v>
      </c>
      <c r="F339" s="6" t="str">
        <f>'Detailed Car List + Stats'!G339</f>
        <v>Italy</v>
      </c>
      <c r="G339" s="19">
        <f>'Detailed Car List + Stats'!H339</f>
        <v>365000</v>
      </c>
      <c r="H339" s="35" t="s">
        <v>76</v>
      </c>
      <c r="I339" s="6" t="str">
        <f>'Detailed Car List + Stats'!T339</f>
        <v>Autoshow, Wheelspin</v>
      </c>
      <c r="J339" s="2" t="str">
        <f>'Detailed Car List + Stats'!U339</f>
        <v/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6.5" customHeight="1">
      <c r="A340" s="6" t="str">
        <f>'Detailed Car List + Stats'!B340</f>
        <v>1967</v>
      </c>
      <c r="B340" s="6" t="str">
        <f>'Detailed Car List + Stats'!C340</f>
        <v>Lamborghini</v>
      </c>
      <c r="C340" s="6" t="str">
        <f>'Detailed Car List + Stats'!D340</f>
        <v>Miura P400</v>
      </c>
      <c r="D340" s="6" t="str">
        <f>'Detailed Car List + Stats'!E340</f>
        <v>Rare Classics</v>
      </c>
      <c r="E340" s="25" t="s">
        <v>770</v>
      </c>
      <c r="F340" s="6" t="str">
        <f>'Detailed Car List + Stats'!G340</f>
        <v>Italy</v>
      </c>
      <c r="G340" s="19">
        <f>'Detailed Car List + Stats'!H340</f>
        <v>1700000</v>
      </c>
      <c r="H340" s="35" t="s">
        <v>76</v>
      </c>
      <c r="I340" s="6" t="str">
        <f>'Detailed Car List + Stats'!T340</f>
        <v>Autoshow, Wheelspin</v>
      </c>
      <c r="J340" s="2" t="str">
        <f>'Detailed Car List + Stats'!U340</f>
        <v/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6.5" customHeight="1">
      <c r="A341" s="6" t="str">
        <f>'Detailed Car List + Stats'!B341</f>
        <v>2010</v>
      </c>
      <c r="B341" s="6" t="str">
        <f>'Detailed Car List + Stats'!C341</f>
        <v>Lamborghini</v>
      </c>
      <c r="C341" s="6" t="str">
        <f>'Detailed Car List + Stats'!D341</f>
        <v>Murciélago LP 670-4 SV</v>
      </c>
      <c r="D341" s="6" t="str">
        <f>'Detailed Car List + Stats'!E341</f>
        <v>Modern Supercars</v>
      </c>
      <c r="E341" s="32" t="s">
        <v>395</v>
      </c>
      <c r="F341" s="6" t="str">
        <f>'Detailed Car List + Stats'!G341</f>
        <v>Italy</v>
      </c>
      <c r="G341" s="19">
        <f>'Detailed Car List + Stats'!H341</f>
        <v>100000</v>
      </c>
      <c r="H341" s="34" t="s">
        <v>62</v>
      </c>
      <c r="I341" s="6" t="str">
        <f>'Detailed Car List + Stats'!T341</f>
        <v>Autoshow, Wheelspin</v>
      </c>
      <c r="J341" s="2" t="str">
        <f>'Detailed Car List + Stats'!U341</f>
        <v/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6.5" customHeight="1">
      <c r="A342" s="6" t="str">
        <f>'Detailed Car List + Stats'!B342</f>
        <v>2024</v>
      </c>
      <c r="B342" s="6" t="str">
        <f>'Detailed Car List + Stats'!C342</f>
        <v>Lamborghini</v>
      </c>
      <c r="C342" s="6" t="str">
        <f>'Detailed Car List + Stats'!D342</f>
        <v>Revuelto</v>
      </c>
      <c r="D342" s="6" t="str">
        <f>'Detailed Car List + Stats'!E342</f>
        <v>Hypercars</v>
      </c>
      <c r="E342" s="50" t="s">
        <v>773</v>
      </c>
      <c r="F342" s="6" t="str">
        <f>'Detailed Car List + Stats'!G342</f>
        <v>Italy</v>
      </c>
      <c r="G342" s="19">
        <f>'Detailed Car List + Stats'!H342</f>
        <v>365000</v>
      </c>
      <c r="H342" s="35" t="s">
        <v>76</v>
      </c>
      <c r="I342" s="6" t="str">
        <f>'Detailed Car List + Stats'!T342</f>
        <v>Autoshow, Collection Journal</v>
      </c>
      <c r="J342" s="2" t="str">
        <f>'Detailed Car List + Stats'!U342</f>
        <v/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6.5" customHeight="1">
      <c r="A343" s="5" t="str">
        <f>'Detailed Car List + Stats'!B343</f>
        <v>2011</v>
      </c>
      <c r="B343" s="5" t="str">
        <f>'Detailed Car List + Stats'!C343</f>
        <v>Lamborghini</v>
      </c>
      <c r="C343" s="5" t="str">
        <f>'Detailed Car List + Stats'!D343</f>
        <v>Sesto Elemento</v>
      </c>
      <c r="D343" s="5" t="str">
        <f>'Detailed Car List + Stats'!E343</f>
        <v>Extreme Track Toys</v>
      </c>
      <c r="E343" s="50" t="s">
        <v>625</v>
      </c>
      <c r="F343" s="5" t="str">
        <f>'Detailed Car List + Stats'!G343</f>
        <v>Italy</v>
      </c>
      <c r="G343" s="9" t="str">
        <f>'Detailed Car List + Stats'!H343</f>
        <v/>
      </c>
      <c r="H343" s="48"/>
      <c r="I343" s="5" t="str">
        <f>'Detailed Car List + Stats'!T343</f>
        <v>Wheelspin, Seasonal</v>
      </c>
      <c r="J343" s="21" t="str">
        <f>'Detailed Car List + Stats'!U343</f>
        <v/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6.5" customHeight="1">
      <c r="A344" s="6" t="str">
        <f>'Detailed Car List + Stats'!B344</f>
        <v>2020</v>
      </c>
      <c r="B344" s="6" t="str">
        <f>'Detailed Car List + Stats'!C344</f>
        <v>Lamborghini</v>
      </c>
      <c r="C344" s="6" t="str">
        <f>'Detailed Car List + Stats'!D344</f>
        <v>Sián Roadster</v>
      </c>
      <c r="D344" s="6" t="str">
        <f>'Detailed Car List + Stats'!E344</f>
        <v>Hypercars</v>
      </c>
      <c r="E344" s="32" t="s">
        <v>776</v>
      </c>
      <c r="F344" s="6" t="str">
        <f>'Detailed Car List + Stats'!G344</f>
        <v>Italy</v>
      </c>
      <c r="G344" s="19">
        <f>'Detailed Car List + Stats'!H344</f>
        <v>2500000</v>
      </c>
      <c r="H344" s="35" t="s">
        <v>76</v>
      </c>
      <c r="I344" s="6" t="str">
        <f>'Detailed Car List + Stats'!T344</f>
        <v>Autoshow, Wheelspin</v>
      </c>
      <c r="J344" s="2" t="str">
        <f>'Detailed Car List + Stats'!U344</f>
        <v/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6.5" customHeight="1">
      <c r="A345" s="5" t="str">
        <f>'Detailed Car List + Stats'!B345</f>
        <v>2024</v>
      </c>
      <c r="B345" s="5" t="str">
        <f>'Detailed Car List + Stats'!C345</f>
        <v>Lamborghini</v>
      </c>
      <c r="C345" s="5" t="str">
        <f>'Detailed Car List + Stats'!D345</f>
        <v>Temerario</v>
      </c>
      <c r="D345" s="5" t="str">
        <f>'Detailed Car List + Stats'!E345</f>
        <v>Hypercars</v>
      </c>
      <c r="E345" s="50" t="s">
        <v>778</v>
      </c>
      <c r="F345" s="5" t="str">
        <f>'Detailed Car List + Stats'!G345</f>
        <v>Italy</v>
      </c>
      <c r="G345" s="9">
        <f>'Detailed Car List + Stats'!H345</f>
        <v>250000</v>
      </c>
      <c r="H345" s="35" t="s">
        <v>76</v>
      </c>
      <c r="I345" s="5" t="str">
        <f>'Detailed Car List + Stats'!T345</f>
        <v>Seasonal</v>
      </c>
      <c r="J345" s="21" t="str">
        <f>'Detailed Car List + Stats'!U345</f>
        <v/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6.5" customHeight="1">
      <c r="A346" s="6" t="str">
        <f>'Detailed Car List + Stats'!B346</f>
        <v>2019</v>
      </c>
      <c r="B346" s="6" t="str">
        <f>'Detailed Car List + Stats'!C346</f>
        <v>Lamborghini</v>
      </c>
      <c r="C346" s="6" t="str">
        <f>'Detailed Car List + Stats'!D346</f>
        <v>Urus</v>
      </c>
      <c r="D346" s="6" t="str">
        <f>'Detailed Car List + Stats'!E346</f>
        <v>Sports Utility Heroes</v>
      </c>
      <c r="E346" s="36" t="s">
        <v>780</v>
      </c>
      <c r="F346" s="6" t="str">
        <f>'Detailed Car List + Stats'!G346</f>
        <v>Italy</v>
      </c>
      <c r="G346" s="19">
        <f>'Detailed Car List + Stats'!H346</f>
        <v>200000</v>
      </c>
      <c r="H346" s="10" t="s">
        <v>27</v>
      </c>
      <c r="I346" s="6" t="str">
        <f>'Detailed Car List + Stats'!T346</f>
        <v>Autoshow, Collection Journal</v>
      </c>
      <c r="J346" s="2" t="str">
        <f>'Detailed Car List + Stats'!U346</f>
        <v/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6.5" customHeight="1">
      <c r="A347" s="6" t="str">
        <f>'Detailed Car List + Stats'!B347</f>
        <v>2013</v>
      </c>
      <c r="B347" s="6" t="str">
        <f>'Detailed Car List + Stats'!C347</f>
        <v>Lamborghini</v>
      </c>
      <c r="C347" s="6" t="str">
        <f>'Detailed Car List + Stats'!D347</f>
        <v>Veneno</v>
      </c>
      <c r="D347" s="6" t="str">
        <f>'Detailed Car List + Stats'!E347</f>
        <v>Hypercars</v>
      </c>
      <c r="E347" s="50" t="s">
        <v>782</v>
      </c>
      <c r="F347" s="6" t="str">
        <f>'Detailed Car List + Stats'!G347</f>
        <v>Italy</v>
      </c>
      <c r="G347" s="19">
        <f>'Detailed Car List + Stats'!H347</f>
        <v>3950000</v>
      </c>
      <c r="H347" s="35" t="s">
        <v>76</v>
      </c>
      <c r="I347" s="6" t="str">
        <f>'Detailed Car List + Stats'!T347</f>
        <v>Autoshow, Wheelspin</v>
      </c>
      <c r="J347" s="2" t="str">
        <f>'Detailed Car List + Stats'!U347</f>
        <v/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6.5" customHeight="1">
      <c r="A348" s="5" t="str">
        <f>'Detailed Car List + Stats'!B348</f>
        <v>1982</v>
      </c>
      <c r="B348" s="5" t="str">
        <f>'Detailed Car List + Stats'!C348</f>
        <v>Lancia</v>
      </c>
      <c r="C348" s="5" t="str">
        <f>'Detailed Car List + Stats'!D348</f>
        <v>037 Stradale</v>
      </c>
      <c r="D348" s="5" t="str">
        <f>'Detailed Car List + Stats'!E348</f>
        <v>Retro Rally</v>
      </c>
      <c r="E348" s="25" t="s">
        <v>785</v>
      </c>
      <c r="F348" s="5" t="str">
        <f>'Detailed Car List + Stats'!G348</f>
        <v>Italy</v>
      </c>
      <c r="G348" s="9">
        <f>'Detailed Car List + Stats'!H348</f>
        <v>600000</v>
      </c>
      <c r="H348" s="33" t="s">
        <v>62</v>
      </c>
      <c r="I348" s="5" t="str">
        <f>'Detailed Car List + Stats'!T348</f>
        <v>Seasonal</v>
      </c>
      <c r="J348" s="21" t="str">
        <f>'Detailed Car List + Stats'!U348</f>
        <v/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6.5" customHeight="1">
      <c r="A349" s="6" t="str">
        <f>'Detailed Car List + Stats'!B349</f>
        <v>1992</v>
      </c>
      <c r="B349" s="6" t="str">
        <f>'Detailed Car List + Stats'!C349</f>
        <v>Lancia</v>
      </c>
      <c r="C349" s="6" t="str">
        <f>'Detailed Car List + Stats'!D349</f>
        <v>Delta HF Integrale EVO</v>
      </c>
      <c r="D349" s="6" t="str">
        <f>'Detailed Car List + Stats'!E349</f>
        <v>Retro Rally</v>
      </c>
      <c r="E349" s="8" t="s">
        <v>787</v>
      </c>
      <c r="F349" s="6" t="str">
        <f>'Detailed Car List + Stats'!G349</f>
        <v>Italy</v>
      </c>
      <c r="G349" s="19">
        <f>'Detailed Car List + Stats'!H349</f>
        <v>110000</v>
      </c>
      <c r="H349" s="20" t="s">
        <v>33</v>
      </c>
      <c r="I349" s="6" t="str">
        <f>'Detailed Car List + Stats'!T349</f>
        <v>Autoshow, Wheelspin</v>
      </c>
      <c r="J349" s="2" t="str">
        <f>'Detailed Car List + Stats'!U349</f>
        <v/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6.5" customHeight="1">
      <c r="A350" s="6" t="str">
        <f>'Detailed Car List + Stats'!B350</f>
        <v>1986</v>
      </c>
      <c r="B350" s="6" t="str">
        <f>'Detailed Car List + Stats'!C350</f>
        <v>Lancia</v>
      </c>
      <c r="C350" s="6" t="str">
        <f>'Detailed Car List + Stats'!D350</f>
        <v>Delta S4</v>
      </c>
      <c r="D350" s="6" t="str">
        <f>'Detailed Car List + Stats'!E350</f>
        <v>Retro Rally</v>
      </c>
      <c r="E350" s="25" t="s">
        <v>693</v>
      </c>
      <c r="F350" s="6" t="str">
        <f>'Detailed Car List + Stats'!G350</f>
        <v>Italy</v>
      </c>
      <c r="G350" s="19">
        <f>'Detailed Car List + Stats'!H350</f>
        <v>55000</v>
      </c>
      <c r="H350" s="10" t="s">
        <v>27</v>
      </c>
      <c r="I350" s="6" t="str">
        <f>'Detailed Car List + Stats'!T350</f>
        <v>Autoshow, Wheelspin</v>
      </c>
      <c r="J350" s="2" t="str">
        <f>'Detailed Car List + Stats'!U350</f>
        <v/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6.5" customHeight="1">
      <c r="A351" s="5" t="str">
        <f>'Detailed Car List + Stats'!B351</f>
        <v>1974</v>
      </c>
      <c r="B351" s="5" t="str">
        <f>'Detailed Car List + Stats'!C351</f>
        <v>Lancia</v>
      </c>
      <c r="C351" s="5" t="str">
        <f>'Detailed Car List + Stats'!D351</f>
        <v>Stratos HF Stradale</v>
      </c>
      <c r="D351" s="5" t="str">
        <f>'Detailed Car List + Stats'!E351</f>
        <v>Classic Rally</v>
      </c>
      <c r="E351" s="8" t="s">
        <v>790</v>
      </c>
      <c r="F351" s="5" t="str">
        <f>'Detailed Car List + Stats'!G351</f>
        <v>Italy</v>
      </c>
      <c r="G351" s="9">
        <f>'Detailed Car List + Stats'!H351</f>
        <v>680000</v>
      </c>
      <c r="H351" s="35" t="s">
        <v>255</v>
      </c>
      <c r="I351" s="5" t="str">
        <f>'Detailed Car List + Stats'!T351</f>
        <v>Collection Journal</v>
      </c>
      <c r="J351" s="21" t="str">
        <f>'Detailed Car List + Stats'!U351</f>
        <v/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6.5" customHeight="1">
      <c r="A352" s="6" t="str">
        <f>'Detailed Car List + Stats'!B352</f>
        <v>2020</v>
      </c>
      <c r="B352" s="6" t="str">
        <f>'Detailed Car List + Stats'!C352</f>
        <v>Land Rover</v>
      </c>
      <c r="C352" s="6" t="str">
        <f>'Detailed Car List + Stats'!D352</f>
        <v>Defender 110 X</v>
      </c>
      <c r="D352" s="6" t="str">
        <f>'Detailed Car List + Stats'!E352</f>
        <v>Sports Utility Heroes</v>
      </c>
      <c r="E352" s="8" t="s">
        <v>371</v>
      </c>
      <c r="F352" s="6" t="str">
        <f>'Detailed Car List + Stats'!G352</f>
        <v>UK</v>
      </c>
      <c r="G352" s="19">
        <f>'Detailed Car List + Stats'!H352</f>
        <v>250000</v>
      </c>
      <c r="H352" s="20" t="s">
        <v>33</v>
      </c>
      <c r="I352" s="6" t="str">
        <f>'Detailed Car List + Stats'!T352</f>
        <v>Autoshow</v>
      </c>
      <c r="J352" s="2" t="str">
        <f>'Detailed Car List + Stats'!U352</f>
        <v/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6.5" customHeight="1">
      <c r="A353" s="6" t="str">
        <f>'Detailed Car List + Stats'!B353</f>
        <v>2015</v>
      </c>
      <c r="B353" s="6" t="str">
        <f>'Detailed Car List + Stats'!C353</f>
        <v>Land Rover</v>
      </c>
      <c r="C353" s="6" t="str">
        <f>'Detailed Car List + Stats'!D353</f>
        <v>Range Rover Sport SVR</v>
      </c>
      <c r="D353" s="6" t="str">
        <f>'Detailed Car List + Stats'!E353</f>
        <v>Sports Utility Heroes</v>
      </c>
      <c r="E353" s="36" t="s">
        <v>794</v>
      </c>
      <c r="F353" s="6" t="str">
        <f>'Detailed Car List + Stats'!G353</f>
        <v>UK</v>
      </c>
      <c r="G353" s="19">
        <f>'Detailed Car List + Stats'!H353</f>
        <v>48000</v>
      </c>
      <c r="H353" s="10" t="s">
        <v>27</v>
      </c>
      <c r="I353" s="6" t="str">
        <f>'Detailed Car List + Stats'!T353</f>
        <v>Autoshow, Collection Journal</v>
      </c>
      <c r="J353" s="2" t="str">
        <f>'Detailed Car List + Stats'!U353</f>
        <v/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6.5" customHeight="1">
      <c r="A354" s="6" t="str">
        <f>'Detailed Car List + Stats'!B354</f>
        <v>2021</v>
      </c>
      <c r="B354" s="6" t="str">
        <f>'Detailed Car List + Stats'!C354</f>
        <v>Lexus</v>
      </c>
      <c r="C354" s="6" t="str">
        <f>'Detailed Car List + Stats'!D354</f>
        <v>LC 500</v>
      </c>
      <c r="D354" s="6" t="str">
        <f>'Detailed Car List + Stats'!E354</f>
        <v>GT Cars</v>
      </c>
      <c r="E354" s="25" t="s">
        <v>797</v>
      </c>
      <c r="F354" s="6" t="str">
        <f>'Detailed Car List + Stats'!G354</f>
        <v>USA</v>
      </c>
      <c r="G354" s="19">
        <f>'Detailed Car List + Stats'!H354</f>
        <v>79000</v>
      </c>
      <c r="H354" s="10" t="s">
        <v>27</v>
      </c>
      <c r="I354" s="6" t="str">
        <f>'Detailed Car List + Stats'!T354</f>
        <v>Autoshow, Wheelspin</v>
      </c>
      <c r="J354" s="2" t="str">
        <f>'Detailed Car List + Stats'!U354</f>
        <v/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6.5" customHeight="1">
      <c r="A355" s="6" t="str">
        <f>'Detailed Car List + Stats'!B355</f>
        <v>2010</v>
      </c>
      <c r="B355" s="6" t="str">
        <f>'Detailed Car List + Stats'!C355</f>
        <v>Lexus</v>
      </c>
      <c r="C355" s="6" t="str">
        <f>'Detailed Car List + Stats'!D355</f>
        <v>LFA</v>
      </c>
      <c r="D355" s="6" t="str">
        <f>'Detailed Car List + Stats'!E355</f>
        <v>Modern Supercars</v>
      </c>
      <c r="E355" s="36" t="s">
        <v>799</v>
      </c>
      <c r="F355" s="6" t="str">
        <f>'Detailed Car List + Stats'!G355</f>
        <v>USA</v>
      </c>
      <c r="G355" s="19">
        <f>'Detailed Car List + Stats'!H355</f>
        <v>875000</v>
      </c>
      <c r="H355" s="34" t="s">
        <v>62</v>
      </c>
      <c r="I355" s="6" t="str">
        <f>'Detailed Car List + Stats'!T355</f>
        <v>Autoshow</v>
      </c>
      <c r="J355" s="2" t="str">
        <f>'Detailed Car List + Stats'!U355</f>
        <v/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6.5" customHeight="1">
      <c r="A356" s="5" t="str">
        <f>'Detailed Car List + Stats'!B356</f>
        <v>2010</v>
      </c>
      <c r="B356" s="5" t="str">
        <f>'Detailed Car List + Stats'!C356</f>
        <v>Lexus</v>
      </c>
      <c r="C356" s="5" t="str">
        <f>'Detailed Car List + Stats'!D356</f>
        <v>LFA Forza Edition</v>
      </c>
      <c r="D356" s="5" t="str">
        <f>'Detailed Car List + Stats'!E356</f>
        <v>Extreme Track Toys</v>
      </c>
      <c r="E356" s="50" t="s">
        <v>488</v>
      </c>
      <c r="F356" s="5" t="str">
        <f>'Detailed Car List + Stats'!G356</f>
        <v>USA</v>
      </c>
      <c r="G356" s="9" t="str">
        <f>'Detailed Car List + Stats'!H356</f>
        <v/>
      </c>
      <c r="H356" s="48"/>
      <c r="I356" s="5" t="str">
        <f>'Detailed Car List + Stats'!T356</f>
        <v>Collection Journal, Seasonal</v>
      </c>
      <c r="J356" s="21" t="str">
        <f>'Detailed Car List + Stats'!U356</f>
        <v/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6.5" customHeight="1">
      <c r="A357" s="6" t="str">
        <f>'Detailed Car List + Stats'!B357</f>
        <v>2015</v>
      </c>
      <c r="B357" s="6" t="str">
        <f>'Detailed Car List + Stats'!C357</f>
        <v>Lexus</v>
      </c>
      <c r="C357" s="6" t="str">
        <f>'Detailed Car List + Stats'!D357</f>
        <v>RC F</v>
      </c>
      <c r="D357" s="6" t="str">
        <f>'Detailed Car List + Stats'!E357</f>
        <v>Modern Super Saloons</v>
      </c>
      <c r="E357" s="36" t="s">
        <v>802</v>
      </c>
      <c r="F357" s="6" t="str">
        <f>'Detailed Car List + Stats'!G357</f>
        <v>USA</v>
      </c>
      <c r="G357" s="19">
        <f>'Detailed Car List + Stats'!H357</f>
        <v>35000</v>
      </c>
      <c r="H357" s="10" t="s">
        <v>27</v>
      </c>
      <c r="I357" s="6" t="str">
        <f>'Detailed Car List + Stats'!T357</f>
        <v>Autoshow, Wheelspin</v>
      </c>
      <c r="J357" s="2" t="str">
        <f>'Detailed Car List + Stats'!U357</f>
        <v/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6.5" customHeight="1">
      <c r="A358" s="5" t="str">
        <f>'Detailed Car List + Stats'!B358</f>
        <v>1962</v>
      </c>
      <c r="B358" s="5" t="str">
        <f>'Detailed Car List + Stats'!C358</f>
        <v>Lincoln</v>
      </c>
      <c r="C358" s="5" t="str">
        <f>'Detailed Car List + Stats'!D358</f>
        <v>Continental</v>
      </c>
      <c r="D358" s="5" t="str">
        <f>'Detailed Car List + Stats'!E358</f>
        <v>Rods &amp; Customs</v>
      </c>
      <c r="E358" s="17" t="s">
        <v>805</v>
      </c>
      <c r="F358" s="5" t="str">
        <f>'Detailed Car List + Stats'!G358</f>
        <v>USA</v>
      </c>
      <c r="G358" s="9">
        <f>'Detailed Car List + Stats'!H358</f>
        <v>65000</v>
      </c>
      <c r="H358" s="48"/>
      <c r="I358" s="5" t="str">
        <f>'Detailed Car List + Stats'!T358</f>
        <v>Collection Journal</v>
      </c>
      <c r="J358" s="21" t="str">
        <f>'Detailed Car List + Stats'!U358</f>
        <v/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6.5" customHeight="1">
      <c r="A359" s="6" t="str">
        <f>'Detailed Car List + Stats'!B359</f>
        <v>1997</v>
      </c>
      <c r="B359" s="6" t="str">
        <f>'Detailed Car List + Stats'!C359</f>
        <v>Lotus</v>
      </c>
      <c r="C359" s="6" t="str">
        <f>'Detailed Car List + Stats'!D359</f>
        <v>Elise GT1</v>
      </c>
      <c r="D359" s="6" t="str">
        <f>'Detailed Car List + Stats'!E359</f>
        <v>Retro Supercars</v>
      </c>
      <c r="E359" s="32" t="s">
        <v>808</v>
      </c>
      <c r="F359" s="6" t="str">
        <f>'Detailed Car List + Stats'!G359</f>
        <v>UK</v>
      </c>
      <c r="G359" s="19">
        <f>'Detailed Car List + Stats'!H359</f>
        <v>1500000</v>
      </c>
      <c r="H359" s="35" t="s">
        <v>76</v>
      </c>
      <c r="I359" s="6" t="str">
        <f>'Detailed Car List + Stats'!T359</f>
        <v>Autoshow, Wheelspin</v>
      </c>
      <c r="J359" s="2" t="str">
        <f>'Detailed Car List + Stats'!U359</f>
        <v/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6.5" customHeight="1">
      <c r="A360" s="6" t="str">
        <f>'Detailed Car List + Stats'!B360</f>
        <v>1999</v>
      </c>
      <c r="B360" s="6" t="str">
        <f>'Detailed Car List + Stats'!C360</f>
        <v>Lotus</v>
      </c>
      <c r="C360" s="6" t="str">
        <f>'Detailed Car List + Stats'!D360</f>
        <v>Elise Series 1 Sport 190</v>
      </c>
      <c r="D360" s="6" t="str">
        <f>'Detailed Car List + Stats'!E360</f>
        <v>Retro Sports Cars</v>
      </c>
      <c r="E360" s="25" t="s">
        <v>810</v>
      </c>
      <c r="F360" s="6" t="str">
        <f>'Detailed Car List + Stats'!G360</f>
        <v>UK</v>
      </c>
      <c r="G360" s="19">
        <f>'Detailed Car List + Stats'!H360</f>
        <v>47000</v>
      </c>
      <c r="H360" s="20" t="s">
        <v>33</v>
      </c>
      <c r="I360" s="6" t="str">
        <f>'Detailed Car List + Stats'!T360</f>
        <v>Autoshow, Wheelspin</v>
      </c>
      <c r="J360" s="2" t="str">
        <f>'Detailed Car List + Stats'!U360</f>
        <v/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6.5" customHeight="1">
      <c r="A361" s="5" t="str">
        <f>'Detailed Car List + Stats'!B361</f>
        <v>2023</v>
      </c>
      <c r="B361" s="5" t="str">
        <f>'Detailed Car List + Stats'!C361</f>
        <v>Lotus</v>
      </c>
      <c r="C361" s="5" t="str">
        <f>'Detailed Car List + Stats'!D361</f>
        <v>Emira</v>
      </c>
      <c r="D361" s="5" t="str">
        <f>'Detailed Car List + Stats'!E361</f>
        <v>Modern Sports Cars</v>
      </c>
      <c r="E361" s="36" t="s">
        <v>260</v>
      </c>
      <c r="F361" s="5" t="str">
        <f>'Detailed Car List + Stats'!G361</f>
        <v>UK</v>
      </c>
      <c r="G361" s="9">
        <f>'Detailed Car List + Stats'!H361</f>
        <v>250000</v>
      </c>
      <c r="H361" s="10" t="s">
        <v>27</v>
      </c>
      <c r="I361" s="5" t="str">
        <f>'Detailed Car List + Stats'!T361</f>
        <v>Seasonal</v>
      </c>
      <c r="J361" s="21" t="str">
        <f>'Detailed Car List + Stats'!U361</f>
        <v/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6.5" customHeight="1">
      <c r="A362" s="6" t="str">
        <f>'Detailed Car List + Stats'!B362</f>
        <v>2020</v>
      </c>
      <c r="B362" s="6" t="str">
        <f>'Detailed Car List + Stats'!C362</f>
        <v>Lotus</v>
      </c>
      <c r="C362" s="6" t="str">
        <f>'Detailed Car List + Stats'!D362</f>
        <v>Evija</v>
      </c>
      <c r="D362" s="6" t="str">
        <f>'Detailed Car List + Stats'!E362</f>
        <v>Hypercars</v>
      </c>
      <c r="E362" s="49" t="s">
        <v>813</v>
      </c>
      <c r="F362" s="6" t="str">
        <f>'Detailed Car List + Stats'!G362</f>
        <v>UK</v>
      </c>
      <c r="G362" s="19">
        <f>'Detailed Car List + Stats'!H362</f>
        <v>2450000</v>
      </c>
      <c r="H362" s="35" t="s">
        <v>76</v>
      </c>
      <c r="I362" s="6" t="str">
        <f>'Detailed Car List + Stats'!T362</f>
        <v>Autoshow, Wheelspin</v>
      </c>
      <c r="J362" s="2" t="str">
        <f>'Detailed Car List + Stats'!U362</f>
        <v/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6.5" customHeight="1">
      <c r="A363" s="37" t="str">
        <f>'Detailed Car List + Stats'!B363</f>
        <v>2020</v>
      </c>
      <c r="B363" s="37" t="str">
        <f>'Detailed Car List + Stats'!C363</f>
        <v>Lotus</v>
      </c>
      <c r="C363" s="37" t="str">
        <f>'Detailed Car List + Stats'!D363</f>
        <v>Evija Forza Edition</v>
      </c>
      <c r="D363" s="37" t="str">
        <f>'Detailed Car List + Stats'!E363</f>
        <v>Drift Cars</v>
      </c>
      <c r="E363" s="50" t="s">
        <v>488</v>
      </c>
      <c r="F363" s="37" t="str">
        <f>'Detailed Car List + Stats'!G363</f>
        <v>UK</v>
      </c>
      <c r="G363" s="38">
        <f>'Detailed Car List + Stats'!H363</f>
        <v>500000</v>
      </c>
      <c r="H363" s="53" t="s">
        <v>430</v>
      </c>
      <c r="I363" s="37" t="str">
        <f>'Detailed Car List + Stats'!T363</f>
        <v>Autoshow DLC</v>
      </c>
      <c r="J363" s="37" t="str">
        <f>'Detailed Car List + Stats'!U363</f>
        <v>VIP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6.5" customHeight="1">
      <c r="A364" s="5" t="str">
        <f>'Detailed Car List + Stats'!B364</f>
        <v>2018</v>
      </c>
      <c r="B364" s="5" t="str">
        <f>'Detailed Car List + Stats'!C364</f>
        <v>Lotus</v>
      </c>
      <c r="C364" s="5" t="str">
        <f>'Detailed Car List + Stats'!D364</f>
        <v>Exige Cup 430</v>
      </c>
      <c r="D364" s="5" t="str">
        <f>'Detailed Car List + Stats'!E364</f>
        <v>Track Toys</v>
      </c>
      <c r="E364" s="32" t="s">
        <v>816</v>
      </c>
      <c r="F364" s="5" t="str">
        <f>'Detailed Car List + Stats'!G364</f>
        <v>UK</v>
      </c>
      <c r="G364" s="9">
        <f>'Detailed Car List + Stats'!H364</f>
        <v>250000</v>
      </c>
      <c r="H364" s="34" t="s">
        <v>62</v>
      </c>
      <c r="I364" s="5" t="str">
        <f>'Detailed Car List + Stats'!T364</f>
        <v>Seasonal</v>
      </c>
      <c r="J364" s="21" t="str">
        <f>'Detailed Car List + Stats'!U364</f>
        <v/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6.5" customHeight="1">
      <c r="A365" s="5" t="str">
        <f>'Detailed Car List + Stats'!B365</f>
        <v>2018</v>
      </c>
      <c r="B365" s="5" t="str">
        <f>'Detailed Car List + Stats'!C365</f>
        <v>Lotus</v>
      </c>
      <c r="C365" s="5" t="str">
        <f>'Detailed Car List + Stats'!D365</f>
        <v>Scura Motorsports Exige WTAC</v>
      </c>
      <c r="D365" s="5" t="str">
        <f>'Detailed Car List + Stats'!E365</f>
        <v>Extreme Track Toys</v>
      </c>
      <c r="E365" s="49" t="s">
        <v>494</v>
      </c>
      <c r="F365" s="5" t="str">
        <f>'Detailed Car List + Stats'!G365</f>
        <v>UK</v>
      </c>
      <c r="G365" s="9" t="str">
        <f>'Detailed Car List + Stats'!H365</f>
        <v/>
      </c>
      <c r="H365" s="48"/>
      <c r="I365" s="5" t="str">
        <f>'Detailed Car List + Stats'!T365</f>
        <v>Collection Journal, Seasonal</v>
      </c>
      <c r="J365" s="21" t="str">
        <f>'Detailed Car List + Stats'!U365</f>
        <v/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6.5" customHeight="1">
      <c r="A366" s="6" t="str">
        <f>'Detailed Car List + Stats'!B366</f>
        <v>2024</v>
      </c>
      <c r="B366" s="6" t="str">
        <f>'Detailed Car List + Stats'!C366</f>
        <v>Lucid</v>
      </c>
      <c r="C366" s="6" t="str">
        <f>'Detailed Car List + Stats'!D366</f>
        <v>Air Sapphire</v>
      </c>
      <c r="D366" s="6" t="str">
        <f>'Detailed Car List + Stats'!E366</f>
        <v>Modern Super Saloons</v>
      </c>
      <c r="E366" s="50" t="s">
        <v>820</v>
      </c>
      <c r="F366" s="6" t="str">
        <f>'Detailed Car List + Stats'!G366</f>
        <v>USA</v>
      </c>
      <c r="G366" s="19">
        <f>'Detailed Car List + Stats'!H366</f>
        <v>240000</v>
      </c>
      <c r="H366" s="10" t="s">
        <v>27</v>
      </c>
      <c r="I366" s="6" t="str">
        <f>'Detailed Car List + Stats'!T366</f>
        <v>Autoshow, Wheelspin</v>
      </c>
      <c r="J366" s="2" t="str">
        <f>'Detailed Car List + Stats'!U366</f>
        <v/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6.5" customHeight="1">
      <c r="A367" s="6" t="str">
        <f>'Detailed Car List + Stats'!B367</f>
        <v>1997</v>
      </c>
      <c r="B367" s="6" t="str">
        <f>'Detailed Car List + Stats'!C367</f>
        <v>Maserati</v>
      </c>
      <c r="C367" s="6" t="str">
        <f>'Detailed Car List + Stats'!D367</f>
        <v>Ghibli Cup</v>
      </c>
      <c r="D367" s="6" t="str">
        <f>'Detailed Car List + Stats'!E367</f>
        <v>Retro Sports Cars</v>
      </c>
      <c r="E367" s="25" t="s">
        <v>823</v>
      </c>
      <c r="F367" s="6" t="str">
        <f>'Detailed Car List + Stats'!G367</f>
        <v>Italy</v>
      </c>
      <c r="G367" s="19">
        <f>'Detailed Car List + Stats'!H367</f>
        <v>102000</v>
      </c>
      <c r="H367" s="10" t="s">
        <v>27</v>
      </c>
      <c r="I367" s="6" t="str">
        <f>'Detailed Car List + Stats'!T367</f>
        <v>Autoshow, Collection Journal</v>
      </c>
      <c r="J367" s="2" t="str">
        <f>'Detailed Car List + Stats'!U367</f>
        <v/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6.5" customHeight="1">
      <c r="A368" s="5" t="str">
        <f>'Detailed Car List + Stats'!B368</f>
        <v>2004</v>
      </c>
      <c r="B368" s="5" t="str">
        <f>'Detailed Car List + Stats'!C368</f>
        <v>Maserati</v>
      </c>
      <c r="C368" s="5" t="str">
        <f>'Detailed Car List + Stats'!D368</f>
        <v>MC12</v>
      </c>
      <c r="D368" s="5" t="str">
        <f>'Detailed Car List + Stats'!E368</f>
        <v>Retro Supercars</v>
      </c>
      <c r="E368" s="32" t="s">
        <v>825</v>
      </c>
      <c r="F368" s="5" t="str">
        <f>'Detailed Car List + Stats'!G368</f>
        <v>Italy</v>
      </c>
      <c r="G368" s="9">
        <f>'Detailed Car List + Stats'!H368</f>
        <v>3750000</v>
      </c>
      <c r="H368" s="34" t="s">
        <v>62</v>
      </c>
      <c r="I368" s="5" t="str">
        <f>'Detailed Car List + Stats'!T368</f>
        <v>Seasonal</v>
      </c>
      <c r="J368" s="21" t="str">
        <f>'Detailed Car List + Stats'!U368</f>
        <v/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6.5" customHeight="1">
      <c r="A369" s="6" t="str">
        <f>'Detailed Car List + Stats'!B369</f>
        <v>2008</v>
      </c>
      <c r="B369" s="6" t="str">
        <f>'Detailed Car List + Stats'!C369</f>
        <v>Maserati</v>
      </c>
      <c r="C369" s="6" t="str">
        <f>'Detailed Car List + Stats'!D369</f>
        <v>MC12 Versione Corsa</v>
      </c>
      <c r="D369" s="6" t="str">
        <f>'Detailed Car List + Stats'!E369</f>
        <v>Extreme Track Toys</v>
      </c>
      <c r="E369" s="49" t="s">
        <v>827</v>
      </c>
      <c r="F369" s="6" t="str">
        <f>'Detailed Car List + Stats'!G369</f>
        <v>Italy</v>
      </c>
      <c r="G369" s="19">
        <f>'Detailed Car List + Stats'!H369</f>
        <v>3100000</v>
      </c>
      <c r="H369" s="35" t="s">
        <v>76</v>
      </c>
      <c r="I369" s="6" t="str">
        <f>'Detailed Car List + Stats'!T369</f>
        <v>Autoshow, Wheelspin</v>
      </c>
      <c r="J369" s="2" t="str">
        <f>'Detailed Car List + Stats'!U369</f>
        <v/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6.5" customHeight="1">
      <c r="A370" s="6" t="str">
        <f>'Detailed Car List + Stats'!B370</f>
        <v>2022</v>
      </c>
      <c r="B370" s="6" t="str">
        <f>'Detailed Car List + Stats'!C370</f>
        <v>Maserati</v>
      </c>
      <c r="C370" s="6" t="str">
        <f>'Detailed Car List + Stats'!D370</f>
        <v>MC20</v>
      </c>
      <c r="D370" s="6" t="str">
        <f>'Detailed Car List + Stats'!E370</f>
        <v>Modern Supercars</v>
      </c>
      <c r="E370" s="32" t="s">
        <v>747</v>
      </c>
      <c r="F370" s="6" t="str">
        <f>'Detailed Car List + Stats'!G370</f>
        <v>Italy</v>
      </c>
      <c r="G370" s="19">
        <f>'Detailed Car List + Stats'!H370</f>
        <v>220000</v>
      </c>
      <c r="H370" s="34" t="s">
        <v>62</v>
      </c>
      <c r="I370" s="6" t="str">
        <f>'Detailed Car List + Stats'!T370</f>
        <v>Autoshow, Wheelspin</v>
      </c>
      <c r="J370" s="2" t="str">
        <f>'Detailed Car List + Stats'!U370</f>
        <v/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6.5" customHeight="1">
      <c r="A371" s="37" t="str">
        <f>'Detailed Car List + Stats'!B371</f>
        <v>1974</v>
      </c>
      <c r="B371" s="37" t="str">
        <f>'Detailed Car List + Stats'!C371</f>
        <v>Mazda</v>
      </c>
      <c r="C371" s="37" t="str">
        <f>'Detailed Car List + Stats'!D371</f>
        <v>#123 Mad Mike 808 Wagon 'FURSTY'</v>
      </c>
      <c r="D371" s="37" t="str">
        <f>'Detailed Car List + Stats'!E371</f>
        <v>Drift Cars</v>
      </c>
      <c r="E371" s="32" t="s">
        <v>450</v>
      </c>
      <c r="F371" s="37" t="str">
        <f>'Detailed Car List + Stats'!G371</f>
        <v>Japan</v>
      </c>
      <c r="G371" s="38">
        <f>'Detailed Car List + Stats'!H371</f>
        <v>100000</v>
      </c>
      <c r="H371" s="35" t="s">
        <v>76</v>
      </c>
      <c r="I371" s="37" t="str">
        <f>'Detailed Car List + Stats'!T371</f>
        <v>Autoshow DLC</v>
      </c>
      <c r="J371" s="37" t="str">
        <f>'Detailed Car List + Stats'!U371</f>
        <v>Car Pass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6.5" customHeight="1">
      <c r="A372" s="5" t="str">
        <f>'Detailed Car List + Stats'!B372</f>
        <v>1991</v>
      </c>
      <c r="B372" s="5" t="str">
        <f>'Detailed Car List + Stats'!C372</f>
        <v>Mazda</v>
      </c>
      <c r="C372" s="5" t="str">
        <f>'Detailed Car List + Stats'!D372</f>
        <v>#55 Mazda 787B</v>
      </c>
      <c r="D372" s="5" t="str">
        <f>'Detailed Car List + Stats'!E372</f>
        <v>Retro Racers</v>
      </c>
      <c r="E372" s="49" t="s">
        <v>832</v>
      </c>
      <c r="F372" s="5" t="str">
        <f>'Detailed Car List + Stats'!G372</f>
        <v>Japan</v>
      </c>
      <c r="G372" s="9" t="str">
        <f>'Detailed Car List + Stats'!H372</f>
        <v/>
      </c>
      <c r="H372" s="48"/>
      <c r="I372" s="5" t="str">
        <f>'Detailed Car List + Stats'!T372</f>
        <v>Collection Journal</v>
      </c>
      <c r="J372" s="21" t="str">
        <f>'Detailed Car List + Stats'!U372</f>
        <v/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6.5" customHeight="1">
      <c r="A373" s="5" t="str">
        <f>'Detailed Car List + Stats'!B373</f>
        <v>1972</v>
      </c>
      <c r="B373" s="5" t="str">
        <f>'Detailed Car List + Stats'!C373</f>
        <v>Mazda</v>
      </c>
      <c r="C373" s="5" t="str">
        <f>'Detailed Car List + Stats'!D373</f>
        <v>Cosmo 110S Series II</v>
      </c>
      <c r="D373" s="5" t="str">
        <f>'Detailed Car List + Stats'!E373</f>
        <v>Classic Sports Cars</v>
      </c>
      <c r="E373" s="17" t="s">
        <v>524</v>
      </c>
      <c r="F373" s="5" t="str">
        <f>'Detailed Car List + Stats'!G373</f>
        <v>Japan</v>
      </c>
      <c r="G373" s="9" t="str">
        <f>'Detailed Car List + Stats'!H373</f>
        <v/>
      </c>
      <c r="H373" s="48"/>
      <c r="I373" s="5" t="str">
        <f>'Detailed Car List + Stats'!T373</f>
        <v>Seasonal</v>
      </c>
      <c r="J373" s="21" t="str">
        <f>'Detailed Car List + Stats'!U373</f>
        <v/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6.5" customHeight="1">
      <c r="A374" s="5" t="str">
        <f>'Detailed Car List + Stats'!B374</f>
        <v>2008</v>
      </c>
      <c r="B374" s="5" t="str">
        <f>'Detailed Car List + Stats'!C374</f>
        <v>Mazda</v>
      </c>
      <c r="C374" s="5" t="str">
        <f>'Detailed Car List + Stats'!D374</f>
        <v>Furai</v>
      </c>
      <c r="D374" s="5" t="str">
        <f>'Detailed Car List + Stats'!E374</f>
        <v>Extreme Track Toys</v>
      </c>
      <c r="E374" s="49" t="s">
        <v>835</v>
      </c>
      <c r="F374" s="5" t="str">
        <f>'Detailed Car List + Stats'!G374</f>
        <v>Japan</v>
      </c>
      <c r="G374" s="9">
        <f>'Detailed Car List + Stats'!H374</f>
        <v>353000</v>
      </c>
      <c r="H374" s="35" t="s">
        <v>76</v>
      </c>
      <c r="I374" s="5" t="str">
        <f>'Detailed Car List + Stats'!T374</f>
        <v>Seasonal</v>
      </c>
      <c r="J374" s="21" t="str">
        <f>'Detailed Car List + Stats'!U374</f>
        <v/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6.5" customHeight="1">
      <c r="A375" s="6" t="str">
        <f>'Detailed Car List + Stats'!B375</f>
        <v>2010</v>
      </c>
      <c r="B375" s="6" t="str">
        <f>'Detailed Car List + Stats'!C375</f>
        <v>Mazda</v>
      </c>
      <c r="C375" s="6" t="str">
        <f>'Detailed Car List + Stats'!D375</f>
        <v>Mazdaspeed 3</v>
      </c>
      <c r="D375" s="6" t="str">
        <f>'Detailed Car List + Stats'!E375</f>
        <v>Modern Sports Cars</v>
      </c>
      <c r="E375" s="25" t="s">
        <v>534</v>
      </c>
      <c r="F375" s="6" t="str">
        <f>'Detailed Car List + Stats'!G375</f>
        <v>Japan</v>
      </c>
      <c r="G375" s="19">
        <f>'Detailed Car List + Stats'!H375</f>
        <v>25000</v>
      </c>
      <c r="H375" s="20" t="s">
        <v>33</v>
      </c>
      <c r="I375" s="6" t="str">
        <f>'Detailed Car List + Stats'!T375</f>
        <v>Autoshow, Wheelspin</v>
      </c>
      <c r="J375" s="2" t="str">
        <f>'Detailed Car List + Stats'!U375</f>
        <v/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6.5" customHeight="1">
      <c r="A376" s="6" t="str">
        <f>'Detailed Car List + Stats'!B376</f>
        <v>2005</v>
      </c>
      <c r="B376" s="6" t="str">
        <f>'Detailed Car List + Stats'!C376</f>
        <v>Mazda</v>
      </c>
      <c r="C376" s="6" t="str">
        <f>'Detailed Car List + Stats'!D376</f>
        <v>Mazdaspeed MX-5</v>
      </c>
      <c r="D376" s="6" t="str">
        <f>'Detailed Car List + Stats'!E376</f>
        <v>Modern Sports Cars</v>
      </c>
      <c r="E376" s="8" t="s">
        <v>838</v>
      </c>
      <c r="F376" s="6" t="str">
        <f>'Detailed Car List + Stats'!G376</f>
        <v>Japan</v>
      </c>
      <c r="G376" s="19">
        <f>'Detailed Car List + Stats'!H376</f>
        <v>21000</v>
      </c>
      <c r="H376" s="20" t="s">
        <v>33</v>
      </c>
      <c r="I376" s="6" t="str">
        <f>'Detailed Car List + Stats'!T376</f>
        <v>Autoshow, Wheelspin</v>
      </c>
      <c r="J376" s="2" t="str">
        <f>'Detailed Car List + Stats'!U376</f>
        <v/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6.5" customHeight="1">
      <c r="A377" s="6" t="str">
        <f>'Detailed Car List + Stats'!B377</f>
        <v>2013</v>
      </c>
      <c r="B377" s="6" t="str">
        <f>'Detailed Car List + Stats'!C377</f>
        <v>Mazda</v>
      </c>
      <c r="C377" s="6" t="str">
        <f>'Detailed Car List + Stats'!D377</f>
        <v>MX-5</v>
      </c>
      <c r="D377" s="6" t="str">
        <f>'Detailed Car List + Stats'!E377</f>
        <v>Track Toys</v>
      </c>
      <c r="E377" s="8" t="s">
        <v>566</v>
      </c>
      <c r="F377" s="6" t="str">
        <f>'Detailed Car List + Stats'!G377</f>
        <v>Japan</v>
      </c>
      <c r="G377" s="19">
        <f>'Detailed Car List + Stats'!H377</f>
        <v>28000</v>
      </c>
      <c r="H377" s="20" t="s">
        <v>33</v>
      </c>
      <c r="I377" s="6" t="str">
        <f>'Detailed Car List + Stats'!T377</f>
        <v>Autoshow, Wheelspin</v>
      </c>
      <c r="J377" s="2" t="str">
        <f>'Detailed Car List + Stats'!U377</f>
        <v/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6.5" customHeight="1">
      <c r="A378" s="6" t="str">
        <f>'Detailed Car List + Stats'!B378</f>
        <v>2016</v>
      </c>
      <c r="B378" s="6" t="str">
        <f>'Detailed Car List + Stats'!C378</f>
        <v>Mazda</v>
      </c>
      <c r="C378" s="6" t="str">
        <f>'Detailed Car List + Stats'!D378</f>
        <v>MX-5</v>
      </c>
      <c r="D378" s="6" t="str">
        <f>'Detailed Car List + Stats'!E378</f>
        <v>Retro Sports Cars</v>
      </c>
      <c r="E378" s="8" t="s">
        <v>840</v>
      </c>
      <c r="F378" s="6" t="str">
        <f>'Detailed Car List + Stats'!G378</f>
        <v>Japan</v>
      </c>
      <c r="G378" s="19">
        <f>'Detailed Car List + Stats'!H378</f>
        <v>18000</v>
      </c>
      <c r="H378" s="34" t="s">
        <v>62</v>
      </c>
      <c r="I378" s="6" t="str">
        <f>'Detailed Car List + Stats'!T378</f>
        <v>Autoshow</v>
      </c>
      <c r="J378" s="2" t="str">
        <f>'Detailed Car List + Stats'!U378</f>
        <v/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6.5" customHeight="1">
      <c r="A379" s="6" t="str">
        <f>'Detailed Car List + Stats'!B379</f>
        <v>2017</v>
      </c>
      <c r="B379" s="6" t="str">
        <f>'Detailed Car List + Stats'!C379</f>
        <v>Mazda</v>
      </c>
      <c r="C379" s="6" t="str">
        <f>'Detailed Car List + Stats'!D379</f>
        <v>MX-5 Cup</v>
      </c>
      <c r="D379" s="6" t="str">
        <f>'Detailed Car List + Stats'!E379</f>
        <v>Retro Sports Cars</v>
      </c>
      <c r="E379" s="25" t="s">
        <v>842</v>
      </c>
      <c r="F379" s="6" t="str">
        <f>'Detailed Car List + Stats'!G379</f>
        <v>Japan</v>
      </c>
      <c r="G379" s="19">
        <f>'Detailed Car List + Stats'!H379</f>
        <v>60000</v>
      </c>
      <c r="H379" s="34" t="s">
        <v>62</v>
      </c>
      <c r="I379" s="6" t="str">
        <f>'Detailed Car List + Stats'!T379</f>
        <v>Autoshow, Collection Journal</v>
      </c>
      <c r="J379" s="2" t="str">
        <f>'Detailed Car List + Stats'!U379</f>
        <v/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6.5" customHeight="1">
      <c r="A380" s="6" t="str">
        <f>'Detailed Car List + Stats'!B380</f>
        <v>1994</v>
      </c>
      <c r="B380" s="6" t="str">
        <f>'Detailed Car List + Stats'!C380</f>
        <v>Mazda</v>
      </c>
      <c r="C380" s="6" t="str">
        <f>'Detailed Car List + Stats'!D380</f>
        <v>MX-5 Miata</v>
      </c>
      <c r="D380" s="6" t="str">
        <f>'Detailed Car List + Stats'!E380</f>
        <v>Modern Sports Cars</v>
      </c>
      <c r="E380" s="17" t="s">
        <v>844</v>
      </c>
      <c r="F380" s="6" t="str">
        <f>'Detailed Car List + Stats'!G380</f>
        <v>Japan</v>
      </c>
      <c r="G380" s="19">
        <f>'Detailed Car List + Stats'!H380</f>
        <v>15000</v>
      </c>
      <c r="H380" s="20" t="s">
        <v>33</v>
      </c>
      <c r="I380" s="6" t="str">
        <f>'Detailed Car List + Stats'!T380</f>
        <v>Autoshow, Wheelspin</v>
      </c>
      <c r="J380" s="2" t="str">
        <f>'Detailed Car List + Stats'!U380</f>
        <v/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6.5" customHeight="1">
      <c r="A381" s="5" t="str">
        <f>'Detailed Car List + Stats'!B381</f>
        <v>1994</v>
      </c>
      <c r="B381" s="5" t="str">
        <f>'Detailed Car List + Stats'!C381</f>
        <v>Mazda</v>
      </c>
      <c r="C381" s="5" t="str">
        <f>'Detailed Car List + Stats'!D381</f>
        <v>MX-5 Miata Forza Edition</v>
      </c>
      <c r="D381" s="5" t="str">
        <f>'Detailed Car List + Stats'!E381</f>
        <v>Classic Sports Cars</v>
      </c>
      <c r="E381" s="50" t="s">
        <v>541</v>
      </c>
      <c r="F381" s="5" t="str">
        <f>'Detailed Car List + Stats'!G381</f>
        <v>Japan</v>
      </c>
      <c r="G381" s="9" t="str">
        <f>'Detailed Car List + Stats'!H381</f>
        <v/>
      </c>
      <c r="H381" s="48"/>
      <c r="I381" s="5" t="str">
        <f>'Detailed Car List + Stats'!T381</f>
        <v>Aftermarket</v>
      </c>
      <c r="J381" s="21" t="str">
        <f>'Detailed Car List + Stats'!U381</f>
        <v/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6.5" customHeight="1">
      <c r="A382" s="6" t="str">
        <f>'Detailed Car List + Stats'!B382</f>
        <v>2022</v>
      </c>
      <c r="B382" s="6" t="str">
        <f>'Detailed Car List + Stats'!C382</f>
        <v>Mazda</v>
      </c>
      <c r="C382" s="6" t="str">
        <f>'Detailed Car List + Stats'!D382</f>
        <v>MX-5 Miata RF</v>
      </c>
      <c r="D382" s="6" t="str">
        <f>'Detailed Car List + Stats'!E382</f>
        <v>Classic Sports Cars</v>
      </c>
      <c r="E382" s="25" t="s">
        <v>848</v>
      </c>
      <c r="F382" s="6" t="str">
        <f>'Detailed Car List + Stats'!G382</f>
        <v>Japan</v>
      </c>
      <c r="G382" s="19">
        <f>'Detailed Car List + Stats'!H382</f>
        <v>29000</v>
      </c>
      <c r="H382" s="34" t="s">
        <v>62</v>
      </c>
      <c r="I382" s="6" t="str">
        <f>'Detailed Car List + Stats'!T382</f>
        <v>Autoshow, Wheelspin</v>
      </c>
      <c r="J382" s="2" t="str">
        <f>'Detailed Car List + Stats'!U382</f>
        <v/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6.5" customHeight="1">
      <c r="A383" s="6" t="str">
        <f>'Detailed Car List + Stats'!B383</f>
        <v>1973</v>
      </c>
      <c r="B383" s="6" t="str">
        <f>'Detailed Car List + Stats'!C383</f>
        <v>Mazda</v>
      </c>
      <c r="C383" s="6" t="str">
        <f>'Detailed Car List + Stats'!D383</f>
        <v>RX-3</v>
      </c>
      <c r="D383" s="6" t="str">
        <f>'Detailed Car List + Stats'!E383</f>
        <v>Retro Sports Cars</v>
      </c>
      <c r="E383" s="17" t="s">
        <v>850</v>
      </c>
      <c r="F383" s="6" t="str">
        <f>'Detailed Car List + Stats'!G383</f>
        <v>Japan</v>
      </c>
      <c r="G383" s="19">
        <f>'Detailed Car List + Stats'!H383</f>
        <v>73000</v>
      </c>
      <c r="H383" s="20" t="s">
        <v>33</v>
      </c>
      <c r="I383" s="6" t="str">
        <f>'Detailed Car List + Stats'!T383</f>
        <v>Autoshow, Wheelspin</v>
      </c>
      <c r="J383" s="2" t="str">
        <f>'Detailed Car List + Stats'!U383</f>
        <v/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6.5" customHeight="1">
      <c r="A384" s="5" t="str">
        <f>'Detailed Car List + Stats'!B384</f>
        <v>1973</v>
      </c>
      <c r="B384" s="5" t="str">
        <f>'Detailed Car List + Stats'!C384</f>
        <v>Mazda</v>
      </c>
      <c r="C384" s="5" t="str">
        <f>'Detailed Car List + Stats'!D384</f>
        <v>RX-3 Forza Edition</v>
      </c>
      <c r="D384" s="5" t="str">
        <f>'Detailed Car List + Stats'!E384</f>
        <v>Retro Sports Cars</v>
      </c>
      <c r="E384" s="25" t="s">
        <v>536</v>
      </c>
      <c r="F384" s="5" t="str">
        <f>'Detailed Car List + Stats'!G384</f>
        <v>Japan</v>
      </c>
      <c r="G384" s="9" t="str">
        <f>'Detailed Car List + Stats'!H384</f>
        <v/>
      </c>
      <c r="H384" s="48"/>
      <c r="I384" s="5" t="str">
        <f>'Detailed Car List + Stats'!T384</f>
        <v>Aftermarket</v>
      </c>
      <c r="J384" s="21" t="str">
        <f>'Detailed Car List + Stats'!U384</f>
        <v/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6.5" customHeight="1">
      <c r="A385" s="5" t="str">
        <f>'Detailed Car List + Stats'!B385</f>
        <v>1985</v>
      </c>
      <c r="B385" s="5" t="str">
        <f>'Detailed Car List + Stats'!C385</f>
        <v>Mazda</v>
      </c>
      <c r="C385" s="5" t="str">
        <f>'Detailed Car List + Stats'!D385</f>
        <v>RX-7 GSL-SE</v>
      </c>
      <c r="D385" s="5" t="str">
        <f>'Detailed Car List + Stats'!E385</f>
        <v>Modern Sports Cars</v>
      </c>
      <c r="E385" s="17" t="s">
        <v>405</v>
      </c>
      <c r="F385" s="5" t="str">
        <f>'Detailed Car List + Stats'!G385</f>
        <v>Japan</v>
      </c>
      <c r="G385" s="9">
        <f>'Detailed Car List + Stats'!H385</f>
        <v>30000</v>
      </c>
      <c r="H385" s="35" t="s">
        <v>255</v>
      </c>
      <c r="I385" s="5" t="str">
        <f>'Detailed Car List + Stats'!T385</f>
        <v>Collection Journal</v>
      </c>
      <c r="J385" s="21" t="str">
        <f>'Detailed Car List + Stats'!U385</f>
        <v/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6.5" customHeight="1">
      <c r="A386" s="6" t="str">
        <f>'Detailed Car List + Stats'!B386</f>
        <v>1992</v>
      </c>
      <c r="B386" s="6" t="str">
        <f>'Detailed Car List + Stats'!C386</f>
        <v>Mazda</v>
      </c>
      <c r="C386" s="6" t="str">
        <f>'Detailed Car List + Stats'!D386</f>
        <v>RX-7 Type R</v>
      </c>
      <c r="D386" s="6" t="str">
        <f>'Detailed Car List + Stats'!E386</f>
        <v>Retro Sports Cars</v>
      </c>
      <c r="E386" s="25" t="s">
        <v>397</v>
      </c>
      <c r="F386" s="6" t="str">
        <f>'Detailed Car List + Stats'!G386</f>
        <v>Japan</v>
      </c>
      <c r="G386" s="19">
        <f>'Detailed Car List + Stats'!H386</f>
        <v>40000</v>
      </c>
      <c r="H386" s="10" t="s">
        <v>27</v>
      </c>
      <c r="I386" s="6" t="str">
        <f>'Detailed Car List + Stats'!T386</f>
        <v>Autoshow, Collection Journal</v>
      </c>
      <c r="J386" s="2" t="str">
        <f>'Detailed Car List + Stats'!U386</f>
        <v/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6.5" customHeight="1">
      <c r="A387" s="6" t="str">
        <f>'Detailed Car List + Stats'!B387</f>
        <v>2011</v>
      </c>
      <c r="B387" s="6" t="str">
        <f>'Detailed Car List + Stats'!C387</f>
        <v>Mazda</v>
      </c>
      <c r="C387" s="6" t="str">
        <f>'Detailed Car List + Stats'!D387</f>
        <v>RX-8 R3</v>
      </c>
      <c r="D387" s="6" t="str">
        <f>'Detailed Car List + Stats'!E387</f>
        <v>Hot Hatch</v>
      </c>
      <c r="E387" s="25" t="s">
        <v>855</v>
      </c>
      <c r="F387" s="6" t="str">
        <f>'Detailed Car List + Stats'!G387</f>
        <v>Japan</v>
      </c>
      <c r="G387" s="19">
        <f>'Detailed Car List + Stats'!H387</f>
        <v>33000</v>
      </c>
      <c r="H387" s="10" t="s">
        <v>27</v>
      </c>
      <c r="I387" s="6" t="str">
        <f>'Detailed Car List + Stats'!T387</f>
        <v>Autoshow, Wheelspin</v>
      </c>
      <c r="J387" s="2" t="str">
        <f>'Detailed Car List + Stats'!U387</f>
        <v/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6.5" customHeight="1">
      <c r="A388" s="6" t="str">
        <f>'Detailed Car List + Stats'!B388</f>
        <v>1990</v>
      </c>
      <c r="B388" s="6" t="str">
        <f>'Detailed Car List + Stats'!C388</f>
        <v>Mazda</v>
      </c>
      <c r="C388" s="6" t="str">
        <f>'Detailed Car List + Stats'!D388</f>
        <v>Savanna RX-7</v>
      </c>
      <c r="D388" s="6" t="str">
        <f>'Detailed Car List + Stats'!E388</f>
        <v>Retro Sports Cars</v>
      </c>
      <c r="E388" s="8" t="s">
        <v>857</v>
      </c>
      <c r="F388" s="6" t="str">
        <f>'Detailed Car List + Stats'!G388</f>
        <v>Japan</v>
      </c>
      <c r="G388" s="19">
        <f>'Detailed Car List + Stats'!H388</f>
        <v>23000</v>
      </c>
      <c r="H388" s="34" t="s">
        <v>62</v>
      </c>
      <c r="I388" s="6" t="str">
        <f>'Detailed Car List + Stats'!T388</f>
        <v>Autoshow, Wheelspin</v>
      </c>
      <c r="J388" s="2" t="str">
        <f>'Detailed Car List + Stats'!U388</f>
        <v/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6.5" customHeight="1">
      <c r="A389" s="6" t="str">
        <f>'Detailed Car List + Stats'!B389</f>
        <v>2011</v>
      </c>
      <c r="B389" s="6" t="str">
        <f>'Detailed Car List + Stats'!C389</f>
        <v>McLaren</v>
      </c>
      <c r="C389" s="6" t="str">
        <f>'Detailed Car List + Stats'!D389</f>
        <v>12C Coupé</v>
      </c>
      <c r="D389" s="6" t="str">
        <f>'Detailed Car List + Stats'!E389</f>
        <v>Modern Supercars</v>
      </c>
      <c r="E389" s="32" t="s">
        <v>340</v>
      </c>
      <c r="F389" s="6" t="str">
        <f>'Detailed Car List + Stats'!G389</f>
        <v>UK</v>
      </c>
      <c r="G389" s="19">
        <f>'Detailed Car List + Stats'!H389</f>
        <v>105000</v>
      </c>
      <c r="H389" s="34" t="s">
        <v>62</v>
      </c>
      <c r="I389" s="6" t="str">
        <f>'Detailed Car List + Stats'!T389</f>
        <v>Autoshow, Wheelspin</v>
      </c>
      <c r="J389" s="2" t="str">
        <f>'Detailed Car List + Stats'!U389</f>
        <v/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6.5" customHeight="1">
      <c r="A390" s="6" t="str">
        <f>'Detailed Car List + Stats'!B390</f>
        <v>2015</v>
      </c>
      <c r="B390" s="6" t="str">
        <f>'Detailed Car List + Stats'!C390</f>
        <v>McLaren</v>
      </c>
      <c r="C390" s="6" t="str">
        <f>'Detailed Car List + Stats'!D390</f>
        <v>570S Coupé</v>
      </c>
      <c r="D390" s="6" t="str">
        <f>'Detailed Car List + Stats'!E390</f>
        <v>Modern Supercars</v>
      </c>
      <c r="E390" s="32" t="s">
        <v>452</v>
      </c>
      <c r="F390" s="6" t="str">
        <f>'Detailed Car List + Stats'!G390</f>
        <v>UK</v>
      </c>
      <c r="G390" s="19">
        <f>'Detailed Car List + Stats'!H390</f>
        <v>130000</v>
      </c>
      <c r="H390" s="34" t="s">
        <v>62</v>
      </c>
      <c r="I390" s="6" t="str">
        <f>'Detailed Car List + Stats'!T390</f>
        <v>Autoshow, Wheelspin</v>
      </c>
      <c r="J390" s="2" t="str">
        <f>'Detailed Car List + Stats'!U390</f>
        <v/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6.5" customHeight="1">
      <c r="A391" s="6" t="str">
        <f>'Detailed Car List + Stats'!B391</f>
        <v>2018</v>
      </c>
      <c r="B391" s="6" t="str">
        <f>'Detailed Car List + Stats'!C391</f>
        <v>McLaren</v>
      </c>
      <c r="C391" s="6" t="str">
        <f>'Detailed Car List + Stats'!D391</f>
        <v>600LT Coupé</v>
      </c>
      <c r="D391" s="6" t="str">
        <f>'Detailed Car List + Stats'!E391</f>
        <v>Track Toys</v>
      </c>
      <c r="E391" s="32" t="s">
        <v>468</v>
      </c>
      <c r="F391" s="6" t="str">
        <f>'Detailed Car List + Stats'!G391</f>
        <v>UK</v>
      </c>
      <c r="G391" s="19">
        <f>'Detailed Car List + Stats'!H391</f>
        <v>260000</v>
      </c>
      <c r="H391" s="34" t="s">
        <v>62</v>
      </c>
      <c r="I391" s="6" t="str">
        <f>'Detailed Car List + Stats'!T391</f>
        <v>Autoshow</v>
      </c>
      <c r="J391" s="2" t="str">
        <f>'Detailed Car List + Stats'!U391</f>
        <v/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6.5" customHeight="1">
      <c r="A392" s="5" t="str">
        <f>'Detailed Car List + Stats'!B392</f>
        <v>2021</v>
      </c>
      <c r="B392" s="5" t="str">
        <f>'Detailed Car List + Stats'!C392</f>
        <v>McLaren</v>
      </c>
      <c r="C392" s="5" t="str">
        <f>'Detailed Car List + Stats'!D392</f>
        <v>620R</v>
      </c>
      <c r="D392" s="5" t="str">
        <f>'Detailed Car List + Stats'!E392</f>
        <v>Track Toys</v>
      </c>
      <c r="E392" s="32" t="s">
        <v>502</v>
      </c>
      <c r="F392" s="5" t="str">
        <f>'Detailed Car List + Stats'!G392</f>
        <v>UK</v>
      </c>
      <c r="G392" s="9" t="str">
        <f>'Detailed Car List + Stats'!H392</f>
        <v/>
      </c>
      <c r="H392" s="48"/>
      <c r="I392" s="5" t="str">
        <f>'Detailed Car List + Stats'!T392</f>
        <v>Wheelspin, Seasonal</v>
      </c>
      <c r="J392" s="21" t="str">
        <f>'Detailed Car List + Stats'!U392</f>
        <v/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6.5" customHeight="1">
      <c r="A393" s="6" t="str">
        <f>'Detailed Car List + Stats'!B393</f>
        <v>2014</v>
      </c>
      <c r="B393" s="6" t="str">
        <f>'Detailed Car List + Stats'!C393</f>
        <v>McLaren</v>
      </c>
      <c r="C393" s="6" t="str">
        <f>'Detailed Car List + Stats'!D393</f>
        <v>650S Spider</v>
      </c>
      <c r="D393" s="6" t="str">
        <f>'Detailed Car List + Stats'!E393</f>
        <v>Modern Supercars</v>
      </c>
      <c r="E393" s="32" t="s">
        <v>864</v>
      </c>
      <c r="F393" s="6" t="str">
        <f>'Detailed Car List + Stats'!G393</f>
        <v>UK</v>
      </c>
      <c r="G393" s="19">
        <f>'Detailed Car List + Stats'!H393</f>
        <v>130000</v>
      </c>
      <c r="H393" s="34" t="s">
        <v>62</v>
      </c>
      <c r="I393" s="6" t="str">
        <f>'Detailed Car List + Stats'!T393</f>
        <v>Autoshow, Wheelspin</v>
      </c>
      <c r="J393" s="2" t="str">
        <f>'Detailed Car List + Stats'!U393</f>
        <v/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6.5" customHeight="1">
      <c r="A394" s="6" t="str">
        <f>'Detailed Car List + Stats'!B394</f>
        <v>2021</v>
      </c>
      <c r="B394" s="6" t="str">
        <f>'Detailed Car List + Stats'!C394</f>
        <v>McLaren</v>
      </c>
      <c r="C394" s="6" t="str">
        <f>'Detailed Car List + Stats'!D394</f>
        <v>765LT Coupé</v>
      </c>
      <c r="D394" s="6" t="str">
        <f>'Detailed Car List + Stats'!E394</f>
        <v>Track Toys</v>
      </c>
      <c r="E394" s="50" t="s">
        <v>773</v>
      </c>
      <c r="F394" s="6" t="str">
        <f>'Detailed Car List + Stats'!G394</f>
        <v>UK</v>
      </c>
      <c r="G394" s="19">
        <f>'Detailed Car List + Stats'!H394</f>
        <v>358000</v>
      </c>
      <c r="H394" s="34" t="s">
        <v>62</v>
      </c>
      <c r="I394" s="6" t="str">
        <f>'Detailed Car List + Stats'!T394</f>
        <v>Autoshow, Wheelspin</v>
      </c>
      <c r="J394" s="2" t="str">
        <f>'Detailed Car List + Stats'!U394</f>
        <v/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6.5" customHeight="1">
      <c r="A395" s="6" t="str">
        <f>'Detailed Car List + Stats'!B395</f>
        <v>2023</v>
      </c>
      <c r="B395" s="6" t="str">
        <f>'Detailed Car List + Stats'!C395</f>
        <v>McLaren</v>
      </c>
      <c r="C395" s="6" t="str">
        <f>'Detailed Car List + Stats'!D395</f>
        <v>Artura</v>
      </c>
      <c r="D395" s="6" t="str">
        <f>'Detailed Car List + Stats'!E395</f>
        <v>Modern Supercars</v>
      </c>
      <c r="E395" s="32" t="s">
        <v>232</v>
      </c>
      <c r="F395" s="6" t="str">
        <f>'Detailed Car List + Stats'!G395</f>
        <v>UK</v>
      </c>
      <c r="G395" s="19">
        <f>'Detailed Car List + Stats'!H395</f>
        <v>220000</v>
      </c>
      <c r="H395" s="34" t="s">
        <v>62</v>
      </c>
      <c r="I395" s="6" t="str">
        <f>'Detailed Car List + Stats'!T395</f>
        <v>Autoshow, Wheelspin</v>
      </c>
      <c r="J395" s="2" t="str">
        <f>'Detailed Car List + Stats'!U395</f>
        <v/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6.5" customHeight="1">
      <c r="A396" s="6" t="str">
        <f>'Detailed Car List + Stats'!B396</f>
        <v>1993</v>
      </c>
      <c r="B396" s="6" t="str">
        <f>'Detailed Car List + Stats'!C396</f>
        <v>McLaren</v>
      </c>
      <c r="C396" s="6" t="str">
        <f>'Detailed Car List + Stats'!D396</f>
        <v>F1</v>
      </c>
      <c r="D396" s="6" t="str">
        <f>'Detailed Car List + Stats'!E396</f>
        <v>Retro Supercars</v>
      </c>
      <c r="E396" s="32" t="s">
        <v>868</v>
      </c>
      <c r="F396" s="6" t="str">
        <f>'Detailed Car List + Stats'!G396</f>
        <v>UK</v>
      </c>
      <c r="G396" s="19">
        <f>'Detailed Car List + Stats'!H396</f>
        <v>5000000</v>
      </c>
      <c r="H396" s="35" t="s">
        <v>76</v>
      </c>
      <c r="I396" s="6" t="str">
        <f>'Detailed Car List + Stats'!T396</f>
        <v>Autoshow, Wheelspin</v>
      </c>
      <c r="J396" s="2" t="str">
        <f>'Detailed Car List + Stats'!U396</f>
        <v/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6.5" customHeight="1">
      <c r="A397" s="6" t="str">
        <f>'Detailed Car List + Stats'!B397</f>
        <v>1997</v>
      </c>
      <c r="B397" s="6" t="str">
        <f>'Detailed Car List + Stats'!C397</f>
        <v>McLaren</v>
      </c>
      <c r="C397" s="6" t="str">
        <f>'Detailed Car List + Stats'!D397</f>
        <v>F1 GT</v>
      </c>
      <c r="D397" s="6" t="str">
        <f>'Detailed Car List + Stats'!E397</f>
        <v>Retro Supercars</v>
      </c>
      <c r="E397" s="32" t="s">
        <v>174</v>
      </c>
      <c r="F397" s="6" t="str">
        <f>'Detailed Car List + Stats'!G397</f>
        <v>UK</v>
      </c>
      <c r="G397" s="19">
        <f>'Detailed Car List + Stats'!H397</f>
        <v>5500000</v>
      </c>
      <c r="H397" s="35" t="s">
        <v>76</v>
      </c>
      <c r="I397" s="6" t="str">
        <f>'Detailed Car List + Stats'!T397</f>
        <v>Autoshow, Wheelspin</v>
      </c>
      <c r="J397" s="2" t="str">
        <f>'Detailed Car List + Stats'!U397</f>
        <v/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6.5" customHeight="1">
      <c r="A398" s="6" t="str">
        <f>'Detailed Car List + Stats'!B398</f>
        <v>2013</v>
      </c>
      <c r="B398" s="6" t="str">
        <f>'Detailed Car List + Stats'!C398</f>
        <v>McLaren</v>
      </c>
      <c r="C398" s="6" t="str">
        <f>'Detailed Car List + Stats'!D398</f>
        <v>P1</v>
      </c>
      <c r="D398" s="6" t="str">
        <f>'Detailed Car List + Stats'!E398</f>
        <v>Hypercars</v>
      </c>
      <c r="E398" s="50" t="s">
        <v>871</v>
      </c>
      <c r="F398" s="6" t="str">
        <f>'Detailed Car List + Stats'!G398</f>
        <v>UK</v>
      </c>
      <c r="G398" s="19">
        <f>'Detailed Car List + Stats'!H398</f>
        <v>1550000</v>
      </c>
      <c r="H398" s="35" t="s">
        <v>76</v>
      </c>
      <c r="I398" s="6" t="str">
        <f>'Detailed Car List + Stats'!T398</f>
        <v>Autoshow, Wheelspin</v>
      </c>
      <c r="J398" s="2" t="str">
        <f>'Detailed Car List + Stats'!U398</f>
        <v/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6.5" customHeight="1">
      <c r="A399" s="5" t="str">
        <f>'Detailed Car List + Stats'!B399</f>
        <v>2021</v>
      </c>
      <c r="B399" s="5" t="str">
        <f>'Detailed Car List + Stats'!C399</f>
        <v>McLaren</v>
      </c>
      <c r="C399" s="5" t="str">
        <f>'Detailed Car List + Stats'!D399</f>
        <v>Sabre</v>
      </c>
      <c r="D399" s="5" t="str">
        <f>'Detailed Car List + Stats'!E399</f>
        <v>Hypercars</v>
      </c>
      <c r="E399" s="32" t="s">
        <v>873</v>
      </c>
      <c r="F399" s="5" t="str">
        <f>'Detailed Car List + Stats'!G399</f>
        <v>UK</v>
      </c>
      <c r="G399" s="9">
        <f>'Detailed Car List + Stats'!H399</f>
        <v>3400000</v>
      </c>
      <c r="H399" s="34" t="s">
        <v>62</v>
      </c>
      <c r="I399" s="5" t="str">
        <f>'Detailed Car List + Stats'!T399</f>
        <v>Seasonal</v>
      </c>
      <c r="J399" s="21" t="str">
        <f>'Detailed Car List + Stats'!U399</f>
        <v/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6.5" customHeight="1">
      <c r="A400" s="6" t="str">
        <f>'Detailed Car List + Stats'!B400</f>
        <v>2019</v>
      </c>
      <c r="B400" s="6" t="str">
        <f>'Detailed Car List + Stats'!C400</f>
        <v>McLaren</v>
      </c>
      <c r="C400" s="6" t="str">
        <f>'Detailed Car List + Stats'!D400</f>
        <v>Speedtail</v>
      </c>
      <c r="D400" s="6" t="str">
        <f>'Detailed Car List + Stats'!E400</f>
        <v>Hypercars</v>
      </c>
      <c r="E400" s="50" t="s">
        <v>875</v>
      </c>
      <c r="F400" s="6" t="str">
        <f>'Detailed Car List + Stats'!G400</f>
        <v>UK</v>
      </c>
      <c r="G400" s="19">
        <f>'Detailed Car List + Stats'!H400</f>
        <v>2000000</v>
      </c>
      <c r="H400" s="35" t="s">
        <v>76</v>
      </c>
      <c r="I400" s="6" t="str">
        <f>'Detailed Car List + Stats'!T400</f>
        <v>Autoshow, Wheelspin</v>
      </c>
      <c r="J400" s="2" t="str">
        <f>'Detailed Car List + Stats'!U400</f>
        <v/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6.5" customHeight="1">
      <c r="A401" s="6" t="str">
        <f>'Detailed Car List + Stats'!B401</f>
        <v>2016</v>
      </c>
      <c r="B401" s="6" t="str">
        <f>'Detailed Car List + Stats'!C401</f>
        <v>Mercedes-AMG</v>
      </c>
      <c r="C401" s="6" t="str">
        <f>'Detailed Car List + Stats'!D401</f>
        <v>C 63 S Coupé</v>
      </c>
      <c r="D401" s="6" t="str">
        <f>'Detailed Car List + Stats'!E401</f>
        <v>Modern Super Saloons</v>
      </c>
      <c r="E401" s="36" t="s">
        <v>399</v>
      </c>
      <c r="F401" s="6" t="str">
        <f>'Detailed Car List + Stats'!G401</f>
        <v>Germany</v>
      </c>
      <c r="G401" s="19">
        <f>'Detailed Car List + Stats'!H401</f>
        <v>34000</v>
      </c>
      <c r="H401" s="10" t="s">
        <v>27</v>
      </c>
      <c r="I401" s="6" t="str">
        <f>'Detailed Car List + Stats'!T401</f>
        <v>Autoshow, Wheelspin</v>
      </c>
      <c r="J401" s="2" t="str">
        <f>'Detailed Car List + Stats'!U401</f>
        <v/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6.5" customHeight="1">
      <c r="A402" s="6" t="str">
        <f>'Detailed Car List + Stats'!B402</f>
        <v>2018</v>
      </c>
      <c r="B402" s="6" t="str">
        <f>'Detailed Car List + Stats'!C402</f>
        <v>Mercedes-AMG</v>
      </c>
      <c r="C402" s="6" t="str">
        <f>'Detailed Car List + Stats'!D402</f>
        <v>E 63 S</v>
      </c>
      <c r="D402" s="6" t="str">
        <f>'Detailed Car List + Stats'!E402</f>
        <v>Modern Super Saloons</v>
      </c>
      <c r="E402" s="36" t="s">
        <v>879</v>
      </c>
      <c r="F402" s="6" t="str">
        <f>'Detailed Car List + Stats'!G402</f>
        <v>Germany</v>
      </c>
      <c r="G402" s="19">
        <f>'Detailed Car List + Stats'!H402</f>
        <v>63000</v>
      </c>
      <c r="H402" s="34" t="s">
        <v>62</v>
      </c>
      <c r="I402" s="6" t="str">
        <f>'Detailed Car List + Stats'!T402</f>
        <v>Autoshow, Wheelspin</v>
      </c>
      <c r="J402" s="2" t="str">
        <f>'Detailed Car List + Stats'!U402</f>
        <v/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6.5" customHeight="1">
      <c r="A403" s="5" t="str">
        <f>'Detailed Car List + Stats'!B403</f>
        <v>2018</v>
      </c>
      <c r="B403" s="5" t="str">
        <f>'Detailed Car List + Stats'!C403</f>
        <v>Mercedes-AMG</v>
      </c>
      <c r="C403" s="5" t="str">
        <f>'Detailed Car List + Stats'!D403</f>
        <v>GT 4-Door Coupé</v>
      </c>
      <c r="D403" s="5" t="str">
        <f>'Detailed Car List + Stats'!E403</f>
        <v>Modern Super Saloons</v>
      </c>
      <c r="E403" s="36" t="s">
        <v>881</v>
      </c>
      <c r="F403" s="5" t="str">
        <f>'Detailed Car List + Stats'!G403</f>
        <v>Germany</v>
      </c>
      <c r="G403" s="9" t="str">
        <f>'Detailed Car List + Stats'!H403</f>
        <v/>
      </c>
      <c r="H403" s="48"/>
      <c r="I403" s="5" t="str">
        <f>'Detailed Car List + Stats'!T403</f>
        <v>Wheelspin, Seasonal</v>
      </c>
      <c r="J403" s="21" t="str">
        <f>'Detailed Car List + Stats'!U403</f>
        <v/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6.5" customHeight="1">
      <c r="A404" s="6" t="str">
        <f>'Detailed Car List + Stats'!B404</f>
        <v>2020</v>
      </c>
      <c r="B404" s="6" t="str">
        <f>'Detailed Car List + Stats'!C404</f>
        <v>Mercedes-AMG</v>
      </c>
      <c r="C404" s="6" t="str">
        <f>'Detailed Car List + Stats'!D404</f>
        <v>GT Black Series</v>
      </c>
      <c r="D404" s="6" t="str">
        <f>'Detailed Car List + Stats'!E404</f>
        <v>Track Toys</v>
      </c>
      <c r="E404" s="32" t="s">
        <v>883</v>
      </c>
      <c r="F404" s="6" t="str">
        <f>'Detailed Car List + Stats'!G404</f>
        <v>Germany</v>
      </c>
      <c r="G404" s="19">
        <f>'Detailed Car List + Stats'!H404</f>
        <v>440000</v>
      </c>
      <c r="H404" s="34" t="s">
        <v>62</v>
      </c>
      <c r="I404" s="6" t="str">
        <f>'Detailed Car List + Stats'!T404</f>
        <v>Autoshow, Wheelspin</v>
      </c>
      <c r="J404" s="2" t="str">
        <f>'Detailed Car List + Stats'!U404</f>
        <v/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6.5" customHeight="1">
      <c r="A405" s="37" t="str">
        <f>'Detailed Car List + Stats'!B405</f>
        <v>2020</v>
      </c>
      <c r="B405" s="37" t="str">
        <f>'Detailed Car List + Stats'!C405</f>
        <v>Mercedes-AMG</v>
      </c>
      <c r="C405" s="37" t="str">
        <f>'Detailed Car List + Stats'!D405</f>
        <v>GT Black Series Welcome Pack</v>
      </c>
      <c r="D405" s="37" t="str">
        <f>'Detailed Car List + Stats'!E405</f>
        <v>Track Toys</v>
      </c>
      <c r="E405" s="50" t="s">
        <v>488</v>
      </c>
      <c r="F405" s="37" t="str">
        <f>'Detailed Car List + Stats'!G405</f>
        <v>Germany</v>
      </c>
      <c r="G405" s="38">
        <f>'Detailed Car List + Stats'!H405</f>
        <v>200000</v>
      </c>
      <c r="H405" s="35" t="s">
        <v>76</v>
      </c>
      <c r="I405" s="37" t="str">
        <f>'Detailed Car List + Stats'!T405</f>
        <v>Autoshow DLC</v>
      </c>
      <c r="J405" s="37" t="str">
        <f>'Detailed Car List + Stats'!U405</f>
        <v>Welcome Pack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6.5" customHeight="1">
      <c r="A406" s="5" t="str">
        <f>'Detailed Car List + Stats'!B406</f>
        <v>2017</v>
      </c>
      <c r="B406" s="5" t="str">
        <f>'Detailed Car List + Stats'!C406</f>
        <v>Mercedes-AMG</v>
      </c>
      <c r="C406" s="5" t="str">
        <f>'Detailed Car List + Stats'!D406</f>
        <v>GT R</v>
      </c>
      <c r="D406" s="5" t="str">
        <f>'Detailed Car List + Stats'!E406</f>
        <v>Super GT</v>
      </c>
      <c r="E406" s="32" t="s">
        <v>886</v>
      </c>
      <c r="F406" s="5" t="str">
        <f>'Detailed Car List + Stats'!G406</f>
        <v>Germany</v>
      </c>
      <c r="G406" s="9">
        <f>'Detailed Car List + Stats'!H406</f>
        <v>250000</v>
      </c>
      <c r="H406" s="34" t="s">
        <v>62</v>
      </c>
      <c r="I406" s="5" t="str">
        <f>'Detailed Car List + Stats'!T406</f>
        <v>Seasonal</v>
      </c>
      <c r="J406" s="21" t="str">
        <f>'Detailed Car List + Stats'!U406</f>
        <v/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6.5" customHeight="1">
      <c r="A407" s="6" t="str">
        <f>'Detailed Car List + Stats'!B407</f>
        <v>2015</v>
      </c>
      <c r="B407" s="6" t="str">
        <f>'Detailed Car List + Stats'!C407</f>
        <v>Mercedes-AMG</v>
      </c>
      <c r="C407" s="6" t="str">
        <f>'Detailed Car List + Stats'!D407</f>
        <v>GT S</v>
      </c>
      <c r="D407" s="6" t="str">
        <f>'Detailed Car List + Stats'!E407</f>
        <v>Super GT</v>
      </c>
      <c r="E407" s="36" t="s">
        <v>888</v>
      </c>
      <c r="F407" s="6" t="str">
        <f>'Detailed Car List + Stats'!G407</f>
        <v>Germany</v>
      </c>
      <c r="G407" s="19">
        <f>'Detailed Car List + Stats'!H407</f>
        <v>90000</v>
      </c>
      <c r="H407" s="10" t="s">
        <v>27</v>
      </c>
      <c r="I407" s="6" t="str">
        <f>'Detailed Car List + Stats'!T407</f>
        <v>Autoshow, Wheelspin</v>
      </c>
      <c r="J407" s="2" t="str">
        <f>'Detailed Car List + Stats'!U407</f>
        <v/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6.5" customHeight="1">
      <c r="A408" s="6" t="str">
        <f>'Detailed Car List + Stats'!B408</f>
        <v>2021</v>
      </c>
      <c r="B408" s="6" t="str">
        <f>'Detailed Car List + Stats'!C408</f>
        <v>Mercedes-AMG</v>
      </c>
      <c r="C408" s="6" t="str">
        <f>'Detailed Car List + Stats'!D408</f>
        <v>ONE</v>
      </c>
      <c r="D408" s="6" t="str">
        <f>'Detailed Car List + Stats'!E408</f>
        <v>Hypercars</v>
      </c>
      <c r="E408" s="50" t="s">
        <v>488</v>
      </c>
      <c r="F408" s="6" t="str">
        <f>'Detailed Car List + Stats'!G408</f>
        <v>Germany</v>
      </c>
      <c r="G408" s="19">
        <f>'Detailed Car List + Stats'!H408</f>
        <v>2800000</v>
      </c>
      <c r="H408" s="35" t="s">
        <v>76</v>
      </c>
      <c r="I408" s="6" t="str">
        <f>'Detailed Car List + Stats'!T408</f>
        <v>Autoshow, Wheelspin</v>
      </c>
      <c r="J408" s="2" t="str">
        <f>'Detailed Car List + Stats'!U408</f>
        <v/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6.5" customHeight="1">
      <c r="A409" s="6" t="str">
        <f>'Detailed Car List + Stats'!B409</f>
        <v>2021</v>
      </c>
      <c r="B409" s="6" t="str">
        <f>'Detailed Car List + Stats'!C409</f>
        <v>Mercedes-AMG</v>
      </c>
      <c r="C409" s="6" t="str">
        <f>'Detailed Car List + Stats'!D409</f>
        <v>SL 63</v>
      </c>
      <c r="D409" s="6" t="str">
        <f>'Detailed Car List + Stats'!E409</f>
        <v>GT Cars</v>
      </c>
      <c r="E409" s="36" t="s">
        <v>891</v>
      </c>
      <c r="F409" s="6" t="str">
        <f>'Detailed Car List + Stats'!G409</f>
        <v>Germany</v>
      </c>
      <c r="G409" s="19">
        <f>'Detailed Car List + Stats'!H409</f>
        <v>120000</v>
      </c>
      <c r="H409" s="10" t="s">
        <v>27</v>
      </c>
      <c r="I409" s="6" t="str">
        <f>'Detailed Car List + Stats'!T409</f>
        <v>Autoshow, Wheelspin</v>
      </c>
      <c r="J409" s="2" t="str">
        <f>'Detailed Car List + Stats'!U409</f>
        <v/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6.5" customHeight="1">
      <c r="A410" s="6" t="str">
        <f>'Detailed Car List + Stats'!B410</f>
        <v>2020</v>
      </c>
      <c r="B410" s="6" t="str">
        <f>'Detailed Car List + Stats'!C410</f>
        <v>Mercedes-AMG</v>
      </c>
      <c r="C410" s="6" t="str">
        <f>'Detailed Car List + Stats'!D410</f>
        <v>SLC 43 Final Edition</v>
      </c>
      <c r="D410" s="6" t="str">
        <f>'Detailed Car List + Stats'!E410</f>
        <v>Modern Sports Cars</v>
      </c>
      <c r="E410" s="36" t="s">
        <v>667</v>
      </c>
      <c r="F410" s="6" t="str">
        <f>'Detailed Car List + Stats'!G410</f>
        <v>Germany</v>
      </c>
      <c r="G410" s="19">
        <f>'Detailed Car List + Stats'!H410</f>
        <v>50000</v>
      </c>
      <c r="H410" s="10" t="s">
        <v>27</v>
      </c>
      <c r="I410" s="6" t="str">
        <f>'Detailed Car List + Stats'!T410</f>
        <v>Autoshow, Wheelspin</v>
      </c>
      <c r="J410" s="2" t="str">
        <f>'Detailed Car List + Stats'!U410</f>
        <v/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6.5" customHeight="1">
      <c r="A411" s="6" t="str">
        <f>'Detailed Car List + Stats'!B411</f>
        <v>1990</v>
      </c>
      <c r="B411" s="6" t="str">
        <f>'Detailed Car List + Stats'!C411</f>
        <v>Mercedes-Benz</v>
      </c>
      <c r="C411" s="6" t="str">
        <f>'Detailed Car List + Stats'!D411</f>
        <v>190 E 2.5-16 Evolution II</v>
      </c>
      <c r="D411" s="6" t="str">
        <f>'Detailed Car List + Stats'!E411</f>
        <v>Retro Super Saloons</v>
      </c>
      <c r="E411" s="8" t="s">
        <v>895</v>
      </c>
      <c r="F411" s="6" t="str">
        <f>'Detailed Car List + Stats'!G411</f>
        <v>Germany</v>
      </c>
      <c r="G411" s="19">
        <f>'Detailed Car List + Stats'!H411</f>
        <v>200000</v>
      </c>
      <c r="H411" s="34" t="s">
        <v>62</v>
      </c>
      <c r="I411" s="6" t="str">
        <f>'Detailed Car List + Stats'!T411</f>
        <v>Autoshow</v>
      </c>
      <c r="J411" s="2" t="str">
        <f>'Detailed Car List + Stats'!U411</f>
        <v/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6.5" customHeight="1">
      <c r="A412" s="5" t="str">
        <f>'Detailed Car List + Stats'!B412</f>
        <v>1990</v>
      </c>
      <c r="B412" s="5" t="str">
        <f>'Detailed Car List + Stats'!C412</f>
        <v>Mercedes-Benz</v>
      </c>
      <c r="C412" s="5" t="str">
        <f>'Detailed Car List + Stats'!D412</f>
        <v>190 E 2.5-16 Evolution II Forza Edition</v>
      </c>
      <c r="D412" s="5" t="str">
        <f>'Detailed Car List + Stats'!E412</f>
        <v>Track Toys</v>
      </c>
      <c r="E412" s="36" t="s">
        <v>262</v>
      </c>
      <c r="F412" s="5" t="str">
        <f>'Detailed Car List + Stats'!G412</f>
        <v>Germany</v>
      </c>
      <c r="G412" s="9">
        <f>'Detailed Car List + Stats'!H412</f>
        <v>750000</v>
      </c>
      <c r="H412" s="53" t="s">
        <v>430</v>
      </c>
      <c r="I412" s="5" t="str">
        <f>'Detailed Car List + Stats'!T412</f>
        <v>Wheelspin, Seasonal</v>
      </c>
      <c r="J412" s="21" t="str">
        <f>'Detailed Car List + Stats'!U412</f>
        <v/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6.5" customHeight="1">
      <c r="A413" s="6" t="str">
        <f>'Detailed Car List + Stats'!B413</f>
        <v>1954</v>
      </c>
      <c r="B413" s="6" t="str">
        <f>'Detailed Car List + Stats'!C413</f>
        <v>Mercedes-Benz</v>
      </c>
      <c r="C413" s="6" t="str">
        <f>'Detailed Car List + Stats'!D413</f>
        <v>300 SL Coupé</v>
      </c>
      <c r="D413" s="6" t="str">
        <f>'Detailed Car List + Stats'!E413</f>
        <v>Rare Classics</v>
      </c>
      <c r="E413" s="17" t="s">
        <v>561</v>
      </c>
      <c r="F413" s="6" t="str">
        <f>'Detailed Car List + Stats'!G413</f>
        <v>Germany</v>
      </c>
      <c r="G413" s="19">
        <f>'Detailed Car List + Stats'!H413</f>
        <v>1700000</v>
      </c>
      <c r="H413" s="35" t="s">
        <v>76</v>
      </c>
      <c r="I413" s="6" t="str">
        <f>'Detailed Car List + Stats'!T413</f>
        <v>Autoshow, Wheelspin</v>
      </c>
      <c r="J413" s="2" t="str">
        <f>'Detailed Car List + Stats'!U413</f>
        <v/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6.5" customHeight="1">
      <c r="A414" s="6" t="str">
        <f>'Detailed Car List + Stats'!B414</f>
        <v>1955</v>
      </c>
      <c r="B414" s="6" t="str">
        <f>'Detailed Car List + Stats'!C414</f>
        <v>Mercedes-Benz</v>
      </c>
      <c r="C414" s="6" t="str">
        <f>'Detailed Car List + Stats'!D414</f>
        <v>300 SLR</v>
      </c>
      <c r="D414" s="6" t="str">
        <f>'Detailed Car List + Stats'!E414</f>
        <v>Classic Racers</v>
      </c>
      <c r="E414" s="25" t="s">
        <v>900</v>
      </c>
      <c r="F414" s="6" t="str">
        <f>'Detailed Car List + Stats'!G414</f>
        <v>Germany</v>
      </c>
      <c r="G414" s="19">
        <f>'Detailed Car List + Stats'!H414</f>
        <v>60000000</v>
      </c>
      <c r="H414" s="35" t="s">
        <v>76</v>
      </c>
      <c r="I414" s="6" t="str">
        <f>'Detailed Car List + Stats'!T414</f>
        <v>Autoshow, Wheelspin</v>
      </c>
      <c r="J414" s="2" t="str">
        <f>'Detailed Car List + Stats'!U414</f>
        <v/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6.5" customHeight="1">
      <c r="A415" s="6" t="str">
        <f>'Detailed Car List + Stats'!B415</f>
        <v>2013</v>
      </c>
      <c r="B415" s="6" t="str">
        <f>'Detailed Car List + Stats'!C415</f>
        <v>Mercedes-Benz</v>
      </c>
      <c r="C415" s="6" t="str">
        <f>'Detailed Car List + Stats'!D415</f>
        <v>A 45 AMG</v>
      </c>
      <c r="D415" s="6" t="str">
        <f>'Detailed Car List + Stats'!E415</f>
        <v>Super Hot Hatch</v>
      </c>
      <c r="E415" s="25" t="s">
        <v>902</v>
      </c>
      <c r="F415" s="6" t="str">
        <f>'Detailed Car List + Stats'!G415</f>
        <v>Germany</v>
      </c>
      <c r="G415" s="19">
        <f>'Detailed Car List + Stats'!H415</f>
        <v>25000</v>
      </c>
      <c r="H415" s="10" t="s">
        <v>27</v>
      </c>
      <c r="I415" s="6" t="str">
        <f>'Detailed Car List + Stats'!T415</f>
        <v>Autoshow, Wheelspin</v>
      </c>
      <c r="J415" s="2" t="str">
        <f>'Detailed Car List + Stats'!U415</f>
        <v/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6.5" customHeight="1">
      <c r="A416" s="5" t="str">
        <f>'Detailed Car List + Stats'!B416</f>
        <v>1998</v>
      </c>
      <c r="B416" s="5" t="str">
        <f>'Detailed Car List + Stats'!C416</f>
        <v>Mercedes-Benz</v>
      </c>
      <c r="C416" s="5" t="str">
        <f>'Detailed Car List + Stats'!D416</f>
        <v>AMG CLK GTR</v>
      </c>
      <c r="D416" s="5" t="str">
        <f>'Detailed Car List + Stats'!E416</f>
        <v>Retro Supercars</v>
      </c>
      <c r="E416" s="32" t="s">
        <v>868</v>
      </c>
      <c r="F416" s="5" t="str">
        <f>'Detailed Car List + Stats'!G416</f>
        <v>Germany</v>
      </c>
      <c r="G416" s="9" t="str">
        <f>'Detailed Car List + Stats'!H416</f>
        <v/>
      </c>
      <c r="H416" s="48"/>
      <c r="I416" s="5" t="str">
        <f>'Detailed Car List + Stats'!T416</f>
        <v>Wheelspin, Seasonal</v>
      </c>
      <c r="J416" s="21" t="str">
        <f>'Detailed Car List + Stats'!U416</f>
        <v/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6.5" customHeight="1">
      <c r="A417" s="6" t="str">
        <f>'Detailed Car List + Stats'!B417</f>
        <v>1987</v>
      </c>
      <c r="B417" s="6" t="str">
        <f>'Detailed Car List + Stats'!C417</f>
        <v>Mercedes-Benz</v>
      </c>
      <c r="C417" s="6" t="str">
        <f>'Detailed Car List + Stats'!D417</f>
        <v>AMG Hammer Coupe</v>
      </c>
      <c r="D417" s="6" t="str">
        <f>'Detailed Car List + Stats'!E417</f>
        <v>Retro Super Saloons</v>
      </c>
      <c r="E417" s="25" t="s">
        <v>190</v>
      </c>
      <c r="F417" s="6" t="str">
        <f>'Detailed Car List + Stats'!G417</f>
        <v>Germany</v>
      </c>
      <c r="G417" s="19">
        <f>'Detailed Car List + Stats'!H417</f>
        <v>225000</v>
      </c>
      <c r="H417" s="20" t="s">
        <v>33</v>
      </c>
      <c r="I417" s="6" t="str">
        <f>'Detailed Car List + Stats'!T417</f>
        <v>Autoshow, Wheelspin</v>
      </c>
      <c r="J417" s="2" t="str">
        <f>'Detailed Car List + Stats'!U417</f>
        <v/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6.5" customHeight="1">
      <c r="A418" s="6" t="str">
        <f>'Detailed Car List + Stats'!B418</f>
        <v>2012</v>
      </c>
      <c r="B418" s="6" t="str">
        <f>'Detailed Car List + Stats'!C418</f>
        <v>Mercedes-Benz</v>
      </c>
      <c r="C418" s="6" t="str">
        <f>'Detailed Car List + Stats'!D418</f>
        <v>C 63 AMG Coupé Black Series</v>
      </c>
      <c r="D418" s="6" t="str">
        <f>'Detailed Car List + Stats'!E418</f>
        <v>Modern Super Saloons</v>
      </c>
      <c r="E418" s="36" t="s">
        <v>907</v>
      </c>
      <c r="F418" s="6" t="str">
        <f>'Detailed Car List + Stats'!G418</f>
        <v>Germany</v>
      </c>
      <c r="G418" s="19">
        <f>'Detailed Car List + Stats'!H418</f>
        <v>175000</v>
      </c>
      <c r="H418" s="34" t="s">
        <v>62</v>
      </c>
      <c r="I418" s="6" t="str">
        <f>'Detailed Car List + Stats'!T418</f>
        <v>Autoshow</v>
      </c>
      <c r="J418" s="2" t="str">
        <f>'Detailed Car List + Stats'!U418</f>
        <v/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6.5" customHeight="1">
      <c r="A419" s="5" t="str">
        <f>'Detailed Car List + Stats'!B419</f>
        <v>2014</v>
      </c>
      <c r="B419" s="5" t="str">
        <f>'Detailed Car List + Stats'!C419</f>
        <v>Mercedes-Benz</v>
      </c>
      <c r="C419" s="5" t="str">
        <f>'Detailed Car List + Stats'!D419</f>
        <v>G 63 AMG 6x6</v>
      </c>
      <c r="D419" s="5" t="str">
        <f>'Detailed Car List + Stats'!E419</f>
        <v>Pickups &amp; 4x4s</v>
      </c>
      <c r="E419" s="8" t="s">
        <v>787</v>
      </c>
      <c r="F419" s="5" t="str">
        <f>'Detailed Car List + Stats'!G419</f>
        <v>Germany</v>
      </c>
      <c r="G419" s="9" t="str">
        <f>'Detailed Car List + Stats'!H419</f>
        <v/>
      </c>
      <c r="H419" s="48"/>
      <c r="I419" s="5" t="str">
        <f>'Detailed Car List + Stats'!T419</f>
        <v>Wheelspin, Seasonal</v>
      </c>
      <c r="J419" s="21" t="str">
        <f>'Detailed Car List + Stats'!U419</f>
        <v/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6.5" customHeight="1">
      <c r="A420" s="6" t="str">
        <f>'Detailed Car List + Stats'!B420</f>
        <v>2013</v>
      </c>
      <c r="B420" s="6" t="str">
        <f>'Detailed Car List + Stats'!C420</f>
        <v>Mercedes-Benz</v>
      </c>
      <c r="C420" s="6" t="str">
        <f>'Detailed Car List + Stats'!D420</f>
        <v>G 65 AMG</v>
      </c>
      <c r="D420" s="6" t="str">
        <f>'Detailed Car List + Stats'!E420</f>
        <v>Pickups &amp; 4x4s</v>
      </c>
      <c r="E420" s="25" t="s">
        <v>572</v>
      </c>
      <c r="F420" s="6" t="str">
        <f>'Detailed Car List + Stats'!G420</f>
        <v>Germany</v>
      </c>
      <c r="G420" s="19">
        <f>'Detailed Car List + Stats'!H420</f>
        <v>120000</v>
      </c>
      <c r="H420" s="10" t="s">
        <v>27</v>
      </c>
      <c r="I420" s="6" t="str">
        <f>'Detailed Car List + Stats'!T420</f>
        <v>Autoshow, Collection Journal</v>
      </c>
      <c r="J420" s="2" t="str">
        <f>'Detailed Car List + Stats'!U420</f>
        <v/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6.5" customHeight="1">
      <c r="A421" s="6" t="str">
        <f>'Detailed Car List + Stats'!B421</f>
        <v>2009</v>
      </c>
      <c r="B421" s="6" t="str">
        <f>'Detailed Car List + Stats'!C421</f>
        <v>Mercedes-Benz</v>
      </c>
      <c r="C421" s="6" t="str">
        <f>'Detailed Car List + Stats'!D421</f>
        <v>SL 65 AMG Black Series</v>
      </c>
      <c r="D421" s="6" t="str">
        <f>'Detailed Car List + Stats'!E421</f>
        <v>Super GT</v>
      </c>
      <c r="E421" s="36" t="s">
        <v>799</v>
      </c>
      <c r="F421" s="6" t="str">
        <f>'Detailed Car List + Stats'!G421</f>
        <v>Germany</v>
      </c>
      <c r="G421" s="19">
        <f>'Detailed Car List + Stats'!H421</f>
        <v>360000</v>
      </c>
      <c r="H421" s="34" t="s">
        <v>62</v>
      </c>
      <c r="I421" s="6" t="str">
        <f>'Detailed Car List + Stats'!T421</f>
        <v>Autoshow, Wheelspin</v>
      </c>
      <c r="J421" s="2" t="str">
        <f>'Detailed Car List + Stats'!U421</f>
        <v/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6.5" customHeight="1">
      <c r="A422" s="6" t="str">
        <f>'Detailed Car List + Stats'!B422</f>
        <v>2014</v>
      </c>
      <c r="B422" s="6" t="str">
        <f>'Detailed Car List + Stats'!C422</f>
        <v>Mercedes-Benz</v>
      </c>
      <c r="C422" s="6" t="str">
        <f>'Detailed Car List + Stats'!D422</f>
        <v>Unimog U5023</v>
      </c>
      <c r="D422" s="6" t="str">
        <f>'Detailed Car List + Stats'!E422</f>
        <v>Offroad</v>
      </c>
      <c r="E422" s="17" t="s">
        <v>32</v>
      </c>
      <c r="F422" s="6" t="str">
        <f>'Detailed Car List + Stats'!G422</f>
        <v>Germany</v>
      </c>
      <c r="G422" s="19">
        <f>'Detailed Car List + Stats'!H422</f>
        <v>235000</v>
      </c>
      <c r="H422" s="10" t="s">
        <v>27</v>
      </c>
      <c r="I422" s="6" t="str">
        <f>'Detailed Car List + Stats'!T422</f>
        <v>Autoshow, Wheelspin</v>
      </c>
      <c r="J422" s="2" t="str">
        <f>'Detailed Car List + Stats'!U422</f>
        <v/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6.5" customHeight="1">
      <c r="A423" s="6" t="str">
        <f>'Detailed Car List + Stats'!B423</f>
        <v>2018</v>
      </c>
      <c r="B423" s="6" t="str">
        <f>'Detailed Car List + Stats'!C423</f>
        <v>Mercedes-Benz</v>
      </c>
      <c r="C423" s="6" t="str">
        <f>'Detailed Car List + Stats'!D423</f>
        <v>X-Class</v>
      </c>
      <c r="D423" s="6" t="str">
        <f>'Detailed Car List + Stats'!E423</f>
        <v>Pickups &amp; 4x4s</v>
      </c>
      <c r="E423" s="17" t="s">
        <v>913</v>
      </c>
      <c r="F423" s="6" t="str">
        <f>'Detailed Car List + Stats'!G423</f>
        <v>Germany</v>
      </c>
      <c r="G423" s="19">
        <f>'Detailed Car List + Stats'!H423</f>
        <v>50000</v>
      </c>
      <c r="H423" s="20" t="s">
        <v>33</v>
      </c>
      <c r="I423" s="6" t="str">
        <f>'Detailed Car List + Stats'!T423</f>
        <v>Autoshow, Wheelspin</v>
      </c>
      <c r="J423" s="2" t="str">
        <f>'Detailed Car List + Stats'!U423</f>
        <v/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6.5" customHeight="1">
      <c r="A424" s="6" t="str">
        <f>'Detailed Car List + Stats'!B424</f>
        <v>1971</v>
      </c>
      <c r="B424" s="6" t="str">
        <f>'Detailed Car List + Stats'!C424</f>
        <v>Meyers</v>
      </c>
      <c r="C424" s="6" t="str">
        <f>'Detailed Car List + Stats'!D424</f>
        <v>Manx</v>
      </c>
      <c r="D424" s="6" t="str">
        <f>'Detailed Car List + Stats'!E424</f>
        <v>Buggies</v>
      </c>
      <c r="E424" s="17" t="s">
        <v>918</v>
      </c>
      <c r="F424" s="6" t="str">
        <f>'Detailed Car List + Stats'!G424</f>
        <v>USA</v>
      </c>
      <c r="G424" s="19">
        <f>'Detailed Car List + Stats'!H424</f>
        <v>34000</v>
      </c>
      <c r="H424" s="34" t="s">
        <v>62</v>
      </c>
      <c r="I424" s="6" t="str">
        <f>'Detailed Car List + Stats'!T424</f>
        <v>Autoshow, Wheelspin</v>
      </c>
      <c r="J424" s="2" t="str">
        <f>'Detailed Car List + Stats'!U424</f>
        <v/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6.5" customHeight="1">
      <c r="A425" s="6" t="str">
        <f>'Detailed Car List + Stats'!B425</f>
        <v>2023</v>
      </c>
      <c r="B425" s="6" t="str">
        <f>'Detailed Car List + Stats'!C425</f>
        <v>Meyers</v>
      </c>
      <c r="C425" s="6" t="str">
        <f>'Detailed Car List + Stats'!D425</f>
        <v>Manx 2.0</v>
      </c>
      <c r="D425" s="6" t="str">
        <f>'Detailed Car List + Stats'!E425</f>
        <v>Buggies</v>
      </c>
      <c r="E425" s="25" t="s">
        <v>39</v>
      </c>
      <c r="F425" s="6" t="str">
        <f>'Detailed Car List + Stats'!G425</f>
        <v>USA</v>
      </c>
      <c r="G425" s="19">
        <f>'Detailed Car List + Stats'!H425</f>
        <v>74000</v>
      </c>
      <c r="H425" s="34" t="s">
        <v>62</v>
      </c>
      <c r="I425" s="6" t="str">
        <f>'Detailed Car List + Stats'!T425</f>
        <v>Autoshow, Wheelspin</v>
      </c>
      <c r="J425" s="2" t="str">
        <f>'Detailed Car List + Stats'!U425</f>
        <v/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6.5" customHeight="1">
      <c r="A426" s="6" t="str">
        <f>'Detailed Car List + Stats'!B426</f>
        <v>1986</v>
      </c>
      <c r="B426" s="6" t="str">
        <f>'Detailed Car List + Stats'!C426</f>
        <v>MG</v>
      </c>
      <c r="C426" s="6" t="str">
        <f>'Detailed Car List + Stats'!D426</f>
        <v>Metro 6R4</v>
      </c>
      <c r="D426" s="6" t="str">
        <f>'Detailed Car List + Stats'!E426</f>
        <v>Rally Monsters</v>
      </c>
      <c r="E426" s="36" t="s">
        <v>922</v>
      </c>
      <c r="F426" s="6" t="str">
        <f>'Detailed Car List + Stats'!G426</f>
        <v>UK</v>
      </c>
      <c r="G426" s="19">
        <f>'Detailed Car List + Stats'!H426</f>
        <v>220000</v>
      </c>
      <c r="H426" s="35" t="s">
        <v>76</v>
      </c>
      <c r="I426" s="6" t="str">
        <f>'Detailed Car List + Stats'!T426</f>
        <v>Autoshow, Collection Journal, Wheelspin</v>
      </c>
      <c r="J426" s="2" t="str">
        <f>'Detailed Car List + Stats'!U426</f>
        <v/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6.5" customHeight="1">
      <c r="A427" s="6" t="str">
        <f>'Detailed Car List + Stats'!B427</f>
        <v>1965</v>
      </c>
      <c r="B427" s="6" t="str">
        <f>'Detailed Car List + Stats'!C427</f>
        <v>MINI</v>
      </c>
      <c r="C427" s="6" t="str">
        <f>'Detailed Car List + Stats'!D427</f>
        <v>Cooper S</v>
      </c>
      <c r="D427" s="6" t="str">
        <f>'Detailed Car List + Stats'!E427</f>
        <v>Classic Rally</v>
      </c>
      <c r="E427" s="17" t="s">
        <v>925</v>
      </c>
      <c r="F427" s="6" t="str">
        <f>'Detailed Car List + Stats'!G427</f>
        <v>UK</v>
      </c>
      <c r="G427" s="19">
        <f>'Detailed Car List + Stats'!H427</f>
        <v>39000</v>
      </c>
      <c r="H427" s="10" t="s">
        <v>27</v>
      </c>
      <c r="I427" s="6" t="str">
        <f>'Detailed Car List + Stats'!T427</f>
        <v>Autoshow, Wheelspin</v>
      </c>
      <c r="J427" s="2" t="str">
        <f>'Detailed Car List + Stats'!U427</f>
        <v/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6.5" customHeight="1">
      <c r="A428" s="6" t="str">
        <f>'Detailed Car List + Stats'!B428</f>
        <v>2012</v>
      </c>
      <c r="B428" s="6" t="str">
        <f>'Detailed Car List + Stats'!C428</f>
        <v>MINI</v>
      </c>
      <c r="C428" s="6" t="str">
        <f>'Detailed Car List + Stats'!D428</f>
        <v>John Cooper Works GP</v>
      </c>
      <c r="D428" s="6" t="str">
        <f>'Detailed Car List + Stats'!E428</f>
        <v>Hot Hatch</v>
      </c>
      <c r="E428" s="25" t="s">
        <v>848</v>
      </c>
      <c r="F428" s="6" t="str">
        <f>'Detailed Car List + Stats'!G428</f>
        <v>UK</v>
      </c>
      <c r="G428" s="19">
        <f>'Detailed Car List + Stats'!H428</f>
        <v>30000</v>
      </c>
      <c r="H428" s="10" t="s">
        <v>27</v>
      </c>
      <c r="I428" s="6" t="str">
        <f>'Detailed Car List + Stats'!T428</f>
        <v>Autoshow, Wheelspin</v>
      </c>
      <c r="J428" s="2" t="str">
        <f>'Detailed Car List + Stats'!U428</f>
        <v/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6.5" customHeight="1">
      <c r="A429" s="5" t="str">
        <f>'Detailed Car List + Stats'!B429</f>
        <v>2021</v>
      </c>
      <c r="B429" s="5" t="str">
        <f>'Detailed Car List + Stats'!C429</f>
        <v>MINI</v>
      </c>
      <c r="C429" s="5" t="str">
        <f>'Detailed Car List + Stats'!D429</f>
        <v>John Cooper Works GP</v>
      </c>
      <c r="D429" s="5" t="str">
        <f>'Detailed Car List + Stats'!E429</f>
        <v>Super Hot Hatch</v>
      </c>
      <c r="E429" s="25" t="s">
        <v>900</v>
      </c>
      <c r="F429" s="5" t="str">
        <f>'Detailed Car List + Stats'!G429</f>
        <v>UK</v>
      </c>
      <c r="G429" s="9" t="str">
        <f>'Detailed Car List + Stats'!H429</f>
        <v/>
      </c>
      <c r="H429" s="48"/>
      <c r="I429" s="5" t="str">
        <f>'Detailed Car List + Stats'!T429</f>
        <v>Seasonal</v>
      </c>
      <c r="J429" s="21" t="str">
        <f>'Detailed Car List + Stats'!U429</f>
        <v/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6.5" customHeight="1">
      <c r="A430" s="6" t="str">
        <f>'Detailed Car List + Stats'!B430</f>
        <v>2013</v>
      </c>
      <c r="B430" s="6" t="str">
        <f>'Detailed Car List + Stats'!C430</f>
        <v>MINI</v>
      </c>
      <c r="C430" s="6" t="str">
        <f>'Detailed Car List + Stats'!D430</f>
        <v>X-Raid All4 Racing Countryman</v>
      </c>
      <c r="D430" s="6" t="str">
        <f>'Detailed Car List + Stats'!E430</f>
        <v>Offroad</v>
      </c>
      <c r="E430" s="25" t="s">
        <v>928</v>
      </c>
      <c r="F430" s="6" t="str">
        <f>'Detailed Car List + Stats'!G430</f>
        <v>UK</v>
      </c>
      <c r="G430" s="19">
        <f>'Detailed Car List + Stats'!H430</f>
        <v>220000</v>
      </c>
      <c r="H430" s="34" t="s">
        <v>62</v>
      </c>
      <c r="I430" s="6" t="str">
        <f>'Detailed Car List + Stats'!T430</f>
        <v>Autoshow, Wheelspin</v>
      </c>
      <c r="J430" s="2" t="str">
        <f>'Detailed Car List + Stats'!U430</f>
        <v/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6.5" customHeight="1">
      <c r="A431" s="5" t="str">
        <f>'Detailed Car List + Stats'!B431</f>
        <v>2018</v>
      </c>
      <c r="B431" s="5" t="str">
        <f>'Detailed Car List + Stats'!C431</f>
        <v>MINI</v>
      </c>
      <c r="C431" s="5" t="str">
        <f>'Detailed Car List + Stats'!D431</f>
        <v>X-Raid John Cooper Works Buggy</v>
      </c>
      <c r="D431" s="5" t="str">
        <f>'Detailed Car List + Stats'!E431</f>
        <v>Offroad</v>
      </c>
      <c r="E431" s="25" t="s">
        <v>665</v>
      </c>
      <c r="F431" s="5" t="str">
        <f>'Detailed Car List + Stats'!G431</f>
        <v>UK</v>
      </c>
      <c r="G431" s="9" t="str">
        <f>'Detailed Car List + Stats'!H431</f>
        <v/>
      </c>
      <c r="H431" s="48"/>
      <c r="I431" s="5" t="str">
        <f>'Detailed Car List + Stats'!T431</f>
        <v>Collection Journal, Seasonal</v>
      </c>
      <c r="J431" s="21" t="str">
        <f>'Detailed Car List + Stats'!U431</f>
        <v/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6.5" customHeight="1">
      <c r="A432" s="5" t="str">
        <f>'Detailed Car List + Stats'!B432</f>
        <v>2005</v>
      </c>
      <c r="B432" s="5" t="str">
        <f>'Detailed Car List + Stats'!C432</f>
        <v>Mitsubishi</v>
      </c>
      <c r="C432" s="5" t="str">
        <f>'Detailed Car List + Stats'!D432</f>
        <v>#1 Sierra Sierra Enterprises Lancer Evolution Time Attack</v>
      </c>
      <c r="D432" s="5" t="str">
        <f>'Detailed Car List + Stats'!E432</f>
        <v>Extreme Track Toys</v>
      </c>
      <c r="E432" s="49" t="s">
        <v>932</v>
      </c>
      <c r="F432" s="5" t="str">
        <f>'Detailed Car List + Stats'!G432</f>
        <v>Japan</v>
      </c>
      <c r="G432" s="9">
        <f>'Detailed Car List + Stats'!H432</f>
        <v>90000</v>
      </c>
      <c r="H432" s="35" t="s">
        <v>678</v>
      </c>
      <c r="I432" s="5" t="str">
        <f>'Detailed Car List + Stats'!T432</f>
        <v>Collection Journal</v>
      </c>
      <c r="J432" s="21" t="str">
        <f>'Detailed Car List + Stats'!U432</f>
        <v/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6.5" customHeight="1">
      <c r="A433" s="37" t="str">
        <f>'Detailed Car List + Stats'!B433</f>
        <v>1990</v>
      </c>
      <c r="B433" s="37" t="str">
        <f>'Detailed Car List + Stats'!C433</f>
        <v>Mitsubishi</v>
      </c>
      <c r="C433" s="37" t="str">
        <f>'Detailed Car List + Stats'!D433</f>
        <v>#269 Attacking the Clock Racing Minicab Time Attack</v>
      </c>
      <c r="D433" s="37" t="str">
        <f>'Detailed Car List + Stats'!E433</f>
        <v>Track Toys</v>
      </c>
      <c r="E433" s="17" t="s">
        <v>934</v>
      </c>
      <c r="F433" s="37" t="str">
        <f>'Detailed Car List + Stats'!G433</f>
        <v>Japan</v>
      </c>
      <c r="G433" s="38">
        <f>'Detailed Car List + Stats'!H433</f>
        <v>100000</v>
      </c>
      <c r="H433" s="34" t="s">
        <v>62</v>
      </c>
      <c r="I433" s="37" t="str">
        <f>'Detailed Car List + Stats'!T433</f>
        <v>Autoshow DLC</v>
      </c>
      <c r="J433" s="37" t="str">
        <f>'Detailed Car List + Stats'!U433</f>
        <v>Time Attack Car Pack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6.5" customHeight="1">
      <c r="A434" s="6" t="str">
        <f>'Detailed Car List + Stats'!B434</f>
        <v>1995</v>
      </c>
      <c r="B434" s="6" t="str">
        <f>'Detailed Car List + Stats'!C434</f>
        <v>Mitsubishi</v>
      </c>
      <c r="C434" s="6" t="str">
        <f>'Detailed Car List + Stats'!D434</f>
        <v>Eclipse GSX</v>
      </c>
      <c r="D434" s="6" t="str">
        <f>'Detailed Car List + Stats'!E434</f>
        <v>Retro Sports Cars</v>
      </c>
      <c r="E434" s="8" t="s">
        <v>936</v>
      </c>
      <c r="F434" s="6" t="str">
        <f>'Detailed Car List + Stats'!G434</f>
        <v>Japan</v>
      </c>
      <c r="G434" s="19">
        <f>'Detailed Car List + Stats'!H434</f>
        <v>35000</v>
      </c>
      <c r="H434" s="20" t="s">
        <v>33</v>
      </c>
      <c r="I434" s="6" t="str">
        <f>'Detailed Car List + Stats'!T434</f>
        <v>Autoshow, Wheelspin</v>
      </c>
      <c r="J434" s="2" t="str">
        <f>'Detailed Car List + Stats'!U434</f>
        <v/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6.5" customHeight="1">
      <c r="A435" s="6" t="str">
        <f>'Detailed Car List + Stats'!B435</f>
        <v>1992</v>
      </c>
      <c r="B435" s="6" t="str">
        <f>'Detailed Car List + Stats'!C435</f>
        <v>Mitsubishi</v>
      </c>
      <c r="C435" s="6" t="str">
        <f>'Detailed Car List + Stats'!D435</f>
        <v>Galant VR-4</v>
      </c>
      <c r="D435" s="6" t="str">
        <f>'Detailed Car List + Stats'!E435</f>
        <v>Retro Rally</v>
      </c>
      <c r="E435" s="8" t="s">
        <v>379</v>
      </c>
      <c r="F435" s="6" t="str">
        <f>'Detailed Car List + Stats'!G435</f>
        <v>Japan</v>
      </c>
      <c r="G435" s="19">
        <f>'Detailed Car List + Stats'!H435</f>
        <v>25000</v>
      </c>
      <c r="H435" s="10" t="s">
        <v>27</v>
      </c>
      <c r="I435" s="6" t="str">
        <f>'Detailed Car List + Stats'!T435</f>
        <v>Autoshow, Wheelspin</v>
      </c>
      <c r="J435" s="2" t="str">
        <f>'Detailed Car List + Stats'!U435</f>
        <v/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6.5" customHeight="1">
      <c r="A436" s="6" t="str">
        <f>'Detailed Car List + Stats'!B436</f>
        <v>1997</v>
      </c>
      <c r="B436" s="6" t="str">
        <f>'Detailed Car List + Stats'!C436</f>
        <v>Mitsubishi</v>
      </c>
      <c r="C436" s="6" t="str">
        <f>'Detailed Car List + Stats'!D436</f>
        <v>GTO</v>
      </c>
      <c r="D436" s="6" t="str">
        <f>'Detailed Car List + Stats'!E436</f>
        <v>Retro Sports Cars</v>
      </c>
      <c r="E436" s="8" t="s">
        <v>939</v>
      </c>
      <c r="F436" s="6" t="str">
        <f>'Detailed Car List + Stats'!G436</f>
        <v>Japan</v>
      </c>
      <c r="G436" s="19">
        <f>'Detailed Car List + Stats'!H436</f>
        <v>20000</v>
      </c>
      <c r="H436" s="20" t="s">
        <v>33</v>
      </c>
      <c r="I436" s="6" t="str">
        <f>'Detailed Car List + Stats'!T436</f>
        <v>Autoshow, Wheelspin</v>
      </c>
      <c r="J436" s="2" t="str">
        <f>'Detailed Car List + Stats'!U436</f>
        <v/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6.5" customHeight="1">
      <c r="A437" s="5" t="str">
        <f>'Detailed Car List + Stats'!B437</f>
        <v>1995</v>
      </c>
      <c r="B437" s="5" t="str">
        <f>'Detailed Car List + Stats'!C437</f>
        <v>Mitsubishi</v>
      </c>
      <c r="C437" s="5" t="str">
        <f>'Detailed Car List + Stats'!D437</f>
        <v>Lancer Evolution III GSR</v>
      </c>
      <c r="D437" s="5" t="str">
        <f>'Detailed Car List + Stats'!E437</f>
        <v>Retro Rally</v>
      </c>
      <c r="E437" s="25" t="s">
        <v>941</v>
      </c>
      <c r="F437" s="5" t="str">
        <f>'Detailed Car List + Stats'!G437</f>
        <v>Japan</v>
      </c>
      <c r="G437" s="9">
        <f>'Detailed Car List + Stats'!H437</f>
        <v>29000</v>
      </c>
      <c r="H437" s="35" t="s">
        <v>255</v>
      </c>
      <c r="I437" s="5" t="str">
        <f>'Detailed Car List + Stats'!T437</f>
        <v>Collection Journal</v>
      </c>
      <c r="J437" s="21" t="str">
        <f>'Detailed Car List + Stats'!U437</f>
        <v/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6.5" customHeight="1">
      <c r="A438" s="5" t="str">
        <f>'Detailed Car List + Stats'!B438</f>
        <v>2006</v>
      </c>
      <c r="B438" s="5" t="str">
        <f>'Detailed Car List + Stats'!C438</f>
        <v>Mitsubishi</v>
      </c>
      <c r="C438" s="5" t="str">
        <f>'Detailed Car List + Stats'!D438</f>
        <v>Lancer Evolution IX MR</v>
      </c>
      <c r="D438" s="5" t="str">
        <f>'Detailed Car List + Stats'!E438</f>
        <v>Modern Rally</v>
      </c>
      <c r="E438" s="25" t="s">
        <v>944</v>
      </c>
      <c r="F438" s="5" t="str">
        <f>'Detailed Car List + Stats'!G438</f>
        <v>Japan</v>
      </c>
      <c r="G438" s="9">
        <f>'Detailed Car List + Stats'!H438</f>
        <v>250000</v>
      </c>
      <c r="H438" s="34" t="s">
        <v>62</v>
      </c>
      <c r="I438" s="5" t="str">
        <f>'Detailed Car List + Stats'!T438</f>
        <v>Seasonal</v>
      </c>
      <c r="J438" s="21" t="str">
        <f>'Detailed Car List + Stats'!U438</f>
        <v/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6.5" customHeight="1">
      <c r="A439" s="6" t="str">
        <f>'Detailed Car List + Stats'!B439</f>
        <v>2001</v>
      </c>
      <c r="B439" s="6" t="str">
        <f>'Detailed Car List + Stats'!C439</f>
        <v>Mitsubishi</v>
      </c>
      <c r="C439" s="6" t="str">
        <f>'Detailed Car List + Stats'!D439</f>
        <v>Lancer Evolution VI GSR TM Edition</v>
      </c>
      <c r="D439" s="6" t="str">
        <f>'Detailed Car List + Stats'!E439</f>
        <v>Retro Rally</v>
      </c>
      <c r="E439" s="25" t="s">
        <v>946</v>
      </c>
      <c r="F439" s="6" t="str">
        <f>'Detailed Car List + Stats'!G439</f>
        <v>Japan</v>
      </c>
      <c r="G439" s="19">
        <f>'Detailed Car List + Stats'!H439</f>
        <v>70000</v>
      </c>
      <c r="H439" s="10" t="s">
        <v>27</v>
      </c>
      <c r="I439" s="6" t="str">
        <f>'Detailed Car List + Stats'!T439</f>
        <v>Autoshow</v>
      </c>
      <c r="J439" s="2" t="str">
        <f>'Detailed Car List + Stats'!U439</f>
        <v/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6.5" customHeight="1">
      <c r="A440" s="6" t="str">
        <f>'Detailed Car List + Stats'!B440</f>
        <v>2004</v>
      </c>
      <c r="B440" s="6" t="str">
        <f>'Detailed Car List + Stats'!C440</f>
        <v>Mitsubishi</v>
      </c>
      <c r="C440" s="6" t="str">
        <f>'Detailed Car List + Stats'!D440</f>
        <v>Lancer Evolution VIII MR</v>
      </c>
      <c r="D440" s="6" t="str">
        <f>'Detailed Car List + Stats'!E440</f>
        <v>Modern Rally</v>
      </c>
      <c r="E440" s="25" t="s">
        <v>785</v>
      </c>
      <c r="F440" s="6" t="str">
        <f>'Detailed Car List + Stats'!G440</f>
        <v>Japan</v>
      </c>
      <c r="G440" s="19">
        <f>'Detailed Car List + Stats'!H440</f>
        <v>30000</v>
      </c>
      <c r="H440" s="10" t="s">
        <v>27</v>
      </c>
      <c r="I440" s="6" t="str">
        <f>'Detailed Car List + Stats'!T440</f>
        <v>Autoshow, Wheelspin</v>
      </c>
      <c r="J440" s="2" t="str">
        <f>'Detailed Car List + Stats'!U440</f>
        <v/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6.5" customHeight="1">
      <c r="A441" s="37" t="str">
        <f>'Detailed Car List + Stats'!B441</f>
        <v>2004</v>
      </c>
      <c r="B441" s="37" t="str">
        <f>'Detailed Car List + Stats'!C441</f>
        <v>Mitsubishi</v>
      </c>
      <c r="C441" s="37" t="str">
        <f>'Detailed Car List + Stats'!D441</f>
        <v>Lancer Evolution VIII MR Welcome Pack</v>
      </c>
      <c r="D441" s="37" t="str">
        <f>'Detailed Car List + Stats'!E441</f>
        <v>Modern Rally</v>
      </c>
      <c r="E441" s="36" t="s">
        <v>262</v>
      </c>
      <c r="F441" s="37" t="str">
        <f>'Detailed Car List + Stats'!G441</f>
        <v>Japan</v>
      </c>
      <c r="G441" s="38">
        <f>'Detailed Car List + Stats'!H441</f>
        <v>100000</v>
      </c>
      <c r="H441" s="35" t="s">
        <v>76</v>
      </c>
      <c r="I441" s="37" t="str">
        <f>'Detailed Car List + Stats'!T441</f>
        <v>Autoshow DLC</v>
      </c>
      <c r="J441" s="37" t="str">
        <f>'Detailed Car List + Stats'!U441</f>
        <v>Welcome Pack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6.5" customHeight="1">
      <c r="A442" s="6" t="str">
        <f>'Detailed Car List + Stats'!B442</f>
        <v>2008</v>
      </c>
      <c r="B442" s="6" t="str">
        <f>'Detailed Car List + Stats'!C442</f>
        <v>Mitsubishi</v>
      </c>
      <c r="C442" s="6" t="str">
        <f>'Detailed Car List + Stats'!D442</f>
        <v>Lancer Evolution X GSR</v>
      </c>
      <c r="D442" s="6" t="str">
        <f>'Detailed Car List + Stats'!E442</f>
        <v>Modern Rally</v>
      </c>
      <c r="E442" s="25" t="s">
        <v>950</v>
      </c>
      <c r="F442" s="6" t="str">
        <f>'Detailed Car List + Stats'!G442</f>
        <v>Japan</v>
      </c>
      <c r="G442" s="19">
        <f>'Detailed Car List + Stats'!H442</f>
        <v>25000</v>
      </c>
      <c r="H442" s="10" t="s">
        <v>27</v>
      </c>
      <c r="I442" s="6" t="str">
        <f>'Detailed Car List + Stats'!T442</f>
        <v>Autoshow, Wheelspin</v>
      </c>
      <c r="J442" s="2" t="str">
        <f>'Detailed Car List + Stats'!U442</f>
        <v/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6.5" customHeight="1">
      <c r="A443" s="5" t="str">
        <f>'Detailed Car List + Stats'!B443</f>
        <v>1997</v>
      </c>
      <c r="B443" s="5" t="str">
        <f>'Detailed Car List + Stats'!C443</f>
        <v>Mitsubishi</v>
      </c>
      <c r="C443" s="5" t="str">
        <f>'Detailed Car List + Stats'!D443</f>
        <v>Montero Evolution</v>
      </c>
      <c r="D443" s="5" t="str">
        <f>'Detailed Car List + Stats'!E443</f>
        <v>Pickups &amp; 4x4s</v>
      </c>
      <c r="E443" s="17" t="s">
        <v>952</v>
      </c>
      <c r="F443" s="5" t="str">
        <f>'Detailed Car List + Stats'!G443</f>
        <v>Japan</v>
      </c>
      <c r="G443" s="9">
        <f>'Detailed Car List + Stats'!H443</f>
        <v>50000</v>
      </c>
      <c r="H443" s="35" t="s">
        <v>678</v>
      </c>
      <c r="I443" s="5" t="str">
        <f>'Detailed Car List + Stats'!T443</f>
        <v>Collection Journal</v>
      </c>
      <c r="J443" s="21" t="str">
        <f>'Detailed Car List + Stats'!U443</f>
        <v/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6.5" customHeight="1">
      <c r="A444" s="6" t="str">
        <f>'Detailed Car List + Stats'!B444</f>
        <v>1995</v>
      </c>
      <c r="B444" s="6" t="str">
        <f>'Detailed Car List + Stats'!C444</f>
        <v>Mitsubishi</v>
      </c>
      <c r="C444" s="6" t="str">
        <f>'Detailed Car List + Stats'!D444</f>
        <v>Montero Exceed 2800 TD</v>
      </c>
      <c r="D444" s="6" t="str">
        <f>'Detailed Car List + Stats'!E444</f>
        <v>Pickups &amp; 4x4s</v>
      </c>
      <c r="E444" s="17" t="s">
        <v>954</v>
      </c>
      <c r="F444" s="6" t="str">
        <f>'Detailed Car List + Stats'!G444</f>
        <v>Japan</v>
      </c>
      <c r="G444" s="19">
        <f>'Detailed Car List + Stats'!H444</f>
        <v>25000</v>
      </c>
      <c r="H444" s="10" t="s">
        <v>27</v>
      </c>
      <c r="I444" s="6" t="str">
        <f>'Detailed Car List + Stats'!T444</f>
        <v>Autoshow, Wheelspin</v>
      </c>
      <c r="J444" s="2" t="str">
        <f>'Detailed Car List + Stats'!U444</f>
        <v/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6.5" customHeight="1">
      <c r="A445" s="5" t="str">
        <f>'Detailed Car List + Stats'!B445</f>
        <v>1988</v>
      </c>
      <c r="B445" s="5" t="str">
        <f>'Detailed Car List + Stats'!C445</f>
        <v>Mitsubishi</v>
      </c>
      <c r="C445" s="5" t="str">
        <f>'Detailed Car List + Stats'!D445</f>
        <v>Starion ESI-R</v>
      </c>
      <c r="D445" s="5" t="str">
        <f>'Detailed Car List + Stats'!E445</f>
        <v>Retro Sports Cars</v>
      </c>
      <c r="E445" s="8" t="s">
        <v>620</v>
      </c>
      <c r="F445" s="5" t="str">
        <f>'Detailed Car List + Stats'!G445</f>
        <v>Japan</v>
      </c>
      <c r="G445" s="9" t="str">
        <f>'Detailed Car List + Stats'!H445</f>
        <v/>
      </c>
      <c r="H445" s="19"/>
      <c r="I445" s="5" t="str">
        <f>'Detailed Car List + Stats'!T445</f>
        <v>Seasonal</v>
      </c>
      <c r="J445" s="21" t="str">
        <f>'Detailed Car List + Stats'!U445</f>
        <v/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6.5" customHeight="1">
      <c r="A446" s="5" t="str">
        <f>'Detailed Car List + Stats'!B446</f>
        <v>1983</v>
      </c>
      <c r="B446" s="5" t="str">
        <f>'Detailed Car List + Stats'!C446</f>
        <v>Nissan</v>
      </c>
      <c r="C446" s="5" t="str">
        <f>'Detailed Car List + Stats'!D446</f>
        <v>#11 Tomica Skyline Turbo Super Silhouette</v>
      </c>
      <c r="D446" s="5" t="str">
        <f>'Detailed Car List + Stats'!E446</f>
        <v>Retro Racers</v>
      </c>
      <c r="E446" s="50" t="s">
        <v>959</v>
      </c>
      <c r="F446" s="5" t="str">
        <f>'Detailed Car List + Stats'!G446</f>
        <v>Japan</v>
      </c>
      <c r="G446" s="9" t="str">
        <f>'Detailed Car List + Stats'!H446</f>
        <v/>
      </c>
      <c r="H446" s="48"/>
      <c r="I446" s="5" t="str">
        <f>'Detailed Car List + Stats'!T446</f>
        <v>Collection Journal</v>
      </c>
      <c r="J446" s="21" t="str">
        <f>'Detailed Car List + Stats'!U446</f>
        <v/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6.5" customHeight="1">
      <c r="A447" s="37" t="str">
        <f>'Detailed Car List + Stats'!B447</f>
        <v>1990</v>
      </c>
      <c r="B447" s="37" t="str">
        <f>'Detailed Car List + Stats'!C447</f>
        <v>Nissan</v>
      </c>
      <c r="C447" s="37" t="str">
        <f>'Detailed Car List + Stats'!D447</f>
        <v>#12 Skyline GT-R (BNR32 Gr.A) JTC</v>
      </c>
      <c r="D447" s="37" t="str">
        <f>'Detailed Car List + Stats'!E447</f>
        <v>Retro Racers</v>
      </c>
      <c r="E447" s="50" t="s">
        <v>961</v>
      </c>
      <c r="F447" s="37" t="str">
        <f>'Detailed Car List + Stats'!G447</f>
        <v>Japan</v>
      </c>
      <c r="G447" s="38">
        <f>'Detailed Car List + Stats'!H447</f>
        <v>1500000</v>
      </c>
      <c r="H447" s="35" t="s">
        <v>76</v>
      </c>
      <c r="I447" s="37" t="str">
        <f>'Detailed Car List + Stats'!T447</f>
        <v>Autoshow DLC</v>
      </c>
      <c r="J447" s="37" t="str">
        <f>'Detailed Car List + Stats'!U447</f>
        <v>Car Pass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6.5" customHeight="1">
      <c r="A448" s="5" t="str">
        <f>'Detailed Car List + Stats'!B448</f>
        <v>1998</v>
      </c>
      <c r="B448" s="5" t="str">
        <f>'Detailed Car List + Stats'!C448</f>
        <v>Nissan</v>
      </c>
      <c r="C448" s="5" t="str">
        <f>'Detailed Car List + Stats'!D448</f>
        <v>#23 Pennzoil Nismo Skyline GT-R</v>
      </c>
      <c r="D448" s="5" t="str">
        <f>'Detailed Car List + Stats'!E448</f>
        <v>Retro Racers</v>
      </c>
      <c r="E448" s="50" t="s">
        <v>871</v>
      </c>
      <c r="F448" s="5" t="str">
        <f>'Detailed Car List + Stats'!G448</f>
        <v>Japan</v>
      </c>
      <c r="G448" s="9">
        <f>'Detailed Car List + Stats'!H448</f>
        <v>600000</v>
      </c>
      <c r="H448" s="35" t="s">
        <v>678</v>
      </c>
      <c r="I448" s="5" t="str">
        <f>'Detailed Car List + Stats'!T448</f>
        <v>Collection Journal</v>
      </c>
      <c r="J448" s="21" t="str">
        <f>'Detailed Car List + Stats'!U448</f>
        <v/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6.5" customHeight="1">
      <c r="A449" s="37" t="str">
        <f>'Detailed Car List + Stats'!B449</f>
        <v>1993</v>
      </c>
      <c r="B449" s="37" t="str">
        <f>'Detailed Car List + Stats'!C449</f>
        <v>Nissan</v>
      </c>
      <c r="C449" s="37" t="str">
        <f>'Detailed Car List + Stats'!D449</f>
        <v>#32 Skyline WTAC 'Xtreme GTR'</v>
      </c>
      <c r="D449" s="37" t="str">
        <f>'Detailed Car List + Stats'!E449</f>
        <v>Extreme Track Toys</v>
      </c>
      <c r="E449" s="49" t="s">
        <v>964</v>
      </c>
      <c r="F449" s="37" t="str">
        <f>'Detailed Car List + Stats'!G449</f>
        <v>Japan</v>
      </c>
      <c r="G449" s="38">
        <f>'Detailed Car List + Stats'!H449</f>
        <v>570000</v>
      </c>
      <c r="H449" s="34" t="s">
        <v>62</v>
      </c>
      <c r="I449" s="37" t="str">
        <f>'Detailed Car List + Stats'!T449</f>
        <v>Autoshow DLC</v>
      </c>
      <c r="J449" s="37" t="str">
        <f>'Detailed Car List + Stats'!U449</f>
        <v>Time Attack Car Pack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6.5" customHeight="1">
      <c r="A450" s="37" t="str">
        <f>'Detailed Car List + Stats'!B450</f>
        <v>2000</v>
      </c>
      <c r="B450" s="37" t="str">
        <f>'Detailed Car List + Stats'!C450</f>
        <v>Nissan</v>
      </c>
      <c r="C450" s="37" t="str">
        <f>'Detailed Car List + Stats'!D450</f>
        <v>#36 Dream Project S15 Silvia WTAC</v>
      </c>
      <c r="D450" s="37" t="str">
        <f>'Detailed Car List + Stats'!E450</f>
        <v>Extreme Track Toys</v>
      </c>
      <c r="E450" s="49" t="s">
        <v>966</v>
      </c>
      <c r="F450" s="37" t="str">
        <f>'Detailed Car List + Stats'!G450</f>
        <v>Japan</v>
      </c>
      <c r="G450" s="38">
        <f>'Detailed Car List + Stats'!H450</f>
        <v>400000</v>
      </c>
      <c r="H450" s="34" t="s">
        <v>62</v>
      </c>
      <c r="I450" s="37" t="str">
        <f>'Detailed Car List + Stats'!T450</f>
        <v>Autoshow DLC</v>
      </c>
      <c r="J450" s="37" t="str">
        <f>'Detailed Car List + Stats'!U450</f>
        <v>Time Attack Car Pack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6.5" customHeight="1">
      <c r="A451" s="5" t="str">
        <f>'Detailed Car List + Stats'!B451</f>
        <v>1993</v>
      </c>
      <c r="B451" s="5" t="str">
        <f>'Detailed Car List + Stats'!C451</f>
        <v>Nissan</v>
      </c>
      <c r="C451" s="5" t="str">
        <f>'Detailed Car List + Stats'!D451</f>
        <v>240SX</v>
      </c>
      <c r="D451" s="5" t="str">
        <f>'Detailed Car List + Stats'!E451</f>
        <v>Retro Sports Cars</v>
      </c>
      <c r="E451" s="17" t="s">
        <v>968</v>
      </c>
      <c r="F451" s="5" t="str">
        <f>'Detailed Car List + Stats'!G451</f>
        <v>Japan</v>
      </c>
      <c r="G451" s="9" t="str">
        <f>'Detailed Car List + Stats'!H451</f>
        <v/>
      </c>
      <c r="H451" s="48"/>
      <c r="I451" s="5" t="str">
        <f>'Detailed Car List + Stats'!T451</f>
        <v>Wheelspin, Seasonal</v>
      </c>
      <c r="J451" s="21" t="str">
        <f>'Detailed Car List + Stats'!U451</f>
        <v/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6.5" customHeight="1">
      <c r="A452" s="5" t="str">
        <f>'Detailed Car List + Stats'!B452</f>
        <v>2010</v>
      </c>
      <c r="B452" s="5" t="str">
        <f>'Detailed Car List + Stats'!C452</f>
        <v>Nissan</v>
      </c>
      <c r="C452" s="5" t="str">
        <f>'Detailed Car List + Stats'!D452</f>
        <v>370Z</v>
      </c>
      <c r="D452" s="5" t="str">
        <f>'Detailed Car List + Stats'!E452</f>
        <v>Modern Sports Cars</v>
      </c>
      <c r="E452" s="25" t="s">
        <v>317</v>
      </c>
      <c r="F452" s="5" t="str">
        <f>'Detailed Car List + Stats'!G452</f>
        <v>Japan</v>
      </c>
      <c r="G452" s="9">
        <f>'Detailed Car List + Stats'!H452</f>
        <v>250000</v>
      </c>
      <c r="H452" s="20" t="s">
        <v>33</v>
      </c>
      <c r="I452" s="5" t="str">
        <f>'Detailed Car List + Stats'!T452</f>
        <v>Seasonal</v>
      </c>
      <c r="J452" s="21" t="str">
        <f>'Detailed Car List + Stats'!U452</f>
        <v/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6.5" customHeight="1">
      <c r="A453" s="6" t="str">
        <f>'Detailed Car List + Stats'!B453</f>
        <v>2019</v>
      </c>
      <c r="B453" s="6" t="str">
        <f>'Detailed Car List + Stats'!C453</f>
        <v>Nissan</v>
      </c>
      <c r="C453" s="6" t="str">
        <f>'Detailed Car List + Stats'!D453</f>
        <v>370Z Nismo</v>
      </c>
      <c r="D453" s="6" t="str">
        <f>'Detailed Car List + Stats'!E453</f>
        <v>Modern Sports Cars</v>
      </c>
      <c r="E453" s="36" t="s">
        <v>971</v>
      </c>
      <c r="F453" s="6" t="str">
        <f>'Detailed Car List + Stats'!G453</f>
        <v>Japan</v>
      </c>
      <c r="G453" s="19">
        <f>'Detailed Car List + Stats'!H453</f>
        <v>46000</v>
      </c>
      <c r="H453" s="10" t="s">
        <v>27</v>
      </c>
      <c r="I453" s="6" t="str">
        <f>'Detailed Car List + Stats'!T453</f>
        <v>Autoshow, Wheelspin</v>
      </c>
      <c r="J453" s="2" t="str">
        <f>'Detailed Car List + Stats'!U453</f>
        <v/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6.5" customHeight="1">
      <c r="A454" s="5" t="str">
        <f>'Detailed Car List + Stats'!B454</f>
        <v>1987</v>
      </c>
      <c r="B454" s="5" t="str">
        <f>'Detailed Car List + Stats'!C454</f>
        <v>Nissan</v>
      </c>
      <c r="C454" s="5" t="str">
        <f>'Detailed Car List + Stats'!D454</f>
        <v>Be-1</v>
      </c>
      <c r="D454" s="5" t="str">
        <f>'Detailed Car List + Stats'!E454</f>
        <v>Eclectic Domestics</v>
      </c>
      <c r="E454" s="17" t="s">
        <v>973</v>
      </c>
      <c r="F454" s="5" t="str">
        <f>'Detailed Car List + Stats'!G454</f>
        <v>Japan</v>
      </c>
      <c r="G454" s="9">
        <f>'Detailed Car List + Stats'!H454</f>
        <v>23000</v>
      </c>
      <c r="H454" s="34" t="s">
        <v>62</v>
      </c>
      <c r="I454" s="5" t="str">
        <f>'Detailed Car List + Stats'!T454</f>
        <v>Seasonal</v>
      </c>
      <c r="J454" s="21" t="str">
        <f>'Detailed Car List + Stats'!U454</f>
        <v/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6.5" customHeight="1">
      <c r="A455" s="6" t="str">
        <f>'Detailed Car List + Stats'!B455</f>
        <v>2003</v>
      </c>
      <c r="B455" s="6" t="str">
        <f>'Detailed Car List + Stats'!C455</f>
        <v>Nissan</v>
      </c>
      <c r="C455" s="6" t="str">
        <f>'Detailed Car List + Stats'!D455</f>
        <v>Fairlady Z</v>
      </c>
      <c r="D455" s="6" t="str">
        <f>'Detailed Car List + Stats'!E455</f>
        <v>Retro Sports Cars</v>
      </c>
      <c r="E455" s="25" t="s">
        <v>950</v>
      </c>
      <c r="F455" s="6" t="str">
        <f>'Detailed Car List + Stats'!G455</f>
        <v>Japan</v>
      </c>
      <c r="G455" s="19">
        <f>'Detailed Car List + Stats'!H455</f>
        <v>18000</v>
      </c>
      <c r="H455" s="20" t="s">
        <v>33</v>
      </c>
      <c r="I455" s="6" t="str">
        <f>'Detailed Car List + Stats'!T455</f>
        <v>Autoshow, Wheelspin</v>
      </c>
      <c r="J455" s="2" t="str">
        <f>'Detailed Car List + Stats'!U455</f>
        <v/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6.5" customHeight="1">
      <c r="A456" s="6" t="str">
        <f>'Detailed Car List + Stats'!B456</f>
        <v>1969</v>
      </c>
      <c r="B456" s="6" t="str">
        <f>'Detailed Car List + Stats'!C456</f>
        <v>Nissan</v>
      </c>
      <c r="C456" s="6" t="str">
        <f>'Detailed Car List + Stats'!D456</f>
        <v>Fairlady Z 432</v>
      </c>
      <c r="D456" s="6" t="str">
        <f>'Detailed Car List + Stats'!E456</f>
        <v>Classic Sports Cars</v>
      </c>
      <c r="E456" s="17" t="s">
        <v>976</v>
      </c>
      <c r="F456" s="6" t="str">
        <f>'Detailed Car List + Stats'!G456</f>
        <v>Japan</v>
      </c>
      <c r="G456" s="19">
        <f>'Detailed Car List + Stats'!H456</f>
        <v>250000</v>
      </c>
      <c r="H456" s="34" t="s">
        <v>62</v>
      </c>
      <c r="I456" s="6" t="str">
        <f>'Detailed Car List + Stats'!T456</f>
        <v>Autoshow, Wheelspin</v>
      </c>
      <c r="J456" s="2" t="str">
        <f>'Detailed Car List + Stats'!U456</f>
        <v/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6.5" customHeight="1">
      <c r="A457" s="6" t="str">
        <f>'Detailed Car List + Stats'!B457</f>
        <v>1994</v>
      </c>
      <c r="B457" s="6" t="str">
        <f>'Detailed Car List + Stats'!C457</f>
        <v>Nissan</v>
      </c>
      <c r="C457" s="6" t="str">
        <f>'Detailed Car List + Stats'!D457</f>
        <v>Fairlady Z Version S Twin Turbo</v>
      </c>
      <c r="D457" s="6" t="str">
        <f>'Detailed Car List + Stats'!E457</f>
        <v>Retro Sports Cars</v>
      </c>
      <c r="E457" s="8" t="s">
        <v>360</v>
      </c>
      <c r="F457" s="6" t="str">
        <f>'Detailed Car List + Stats'!G457</f>
        <v>Japan</v>
      </c>
      <c r="G457" s="19">
        <f>'Detailed Car List + Stats'!H457</f>
        <v>40000</v>
      </c>
      <c r="H457" s="34" t="s">
        <v>62</v>
      </c>
      <c r="I457" s="6" t="str">
        <f>'Detailed Car List + Stats'!T457</f>
        <v>Autoshow</v>
      </c>
      <c r="J457" s="2" t="str">
        <f>'Detailed Car List + Stats'!U457</f>
        <v/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6.5" customHeight="1">
      <c r="A458" s="5" t="str">
        <f>'Detailed Car List + Stats'!B458</f>
        <v>1991</v>
      </c>
      <c r="B458" s="5" t="str">
        <f>'Detailed Car List + Stats'!C458</f>
        <v>Nissan</v>
      </c>
      <c r="C458" s="5" t="str">
        <f>'Detailed Car List + Stats'!D458</f>
        <v>Figaro</v>
      </c>
      <c r="D458" s="5" t="str">
        <f>'Detailed Car List + Stats'!E458</f>
        <v>Eclectic Domestics</v>
      </c>
      <c r="E458" s="17" t="s">
        <v>979</v>
      </c>
      <c r="F458" s="5" t="str">
        <f>'Detailed Car List + Stats'!G458</f>
        <v>Japan</v>
      </c>
      <c r="G458" s="9">
        <f>'Detailed Car List + Stats'!H458</f>
        <v>40000</v>
      </c>
      <c r="H458" s="35" t="s">
        <v>255</v>
      </c>
      <c r="I458" s="5" t="str">
        <f>'Detailed Car List + Stats'!T458</f>
        <v>Collection Journal</v>
      </c>
      <c r="J458" s="21" t="str">
        <f>'Detailed Car List + Stats'!U458</f>
        <v/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6.5" customHeight="1">
      <c r="A459" s="6" t="str">
        <f>'Detailed Car List + Stats'!B459</f>
        <v>1995</v>
      </c>
      <c r="B459" s="6" t="str">
        <f>'Detailed Car List + Stats'!C459</f>
        <v>Nissan</v>
      </c>
      <c r="C459" s="6" t="str">
        <f>'Detailed Car List + Stats'!D459</f>
        <v>Gloria Gran Turismo</v>
      </c>
      <c r="D459" s="6" t="str">
        <f>'Detailed Car List + Stats'!E459</f>
        <v>Retro Super Saloons</v>
      </c>
      <c r="E459" s="8" t="s">
        <v>981</v>
      </c>
      <c r="F459" s="6" t="str">
        <f>'Detailed Car List + Stats'!G459</f>
        <v>Japan</v>
      </c>
      <c r="G459" s="19">
        <f>'Detailed Car List + Stats'!H459</f>
        <v>15000</v>
      </c>
      <c r="H459" s="10" t="s">
        <v>27</v>
      </c>
      <c r="I459" s="6" t="str">
        <f>'Detailed Car List + Stats'!T459</f>
        <v>Autoshow, Wheelspin</v>
      </c>
      <c r="J459" s="2" t="str">
        <f>'Detailed Car List + Stats'!U459</f>
        <v/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6.5" customHeight="1">
      <c r="A460" s="6" t="str">
        <f>'Detailed Car List + Stats'!B460</f>
        <v>2017</v>
      </c>
      <c r="B460" s="6" t="str">
        <f>'Detailed Car List + Stats'!C460</f>
        <v>Nissan</v>
      </c>
      <c r="C460" s="6" t="str">
        <f>'Detailed Car List + Stats'!D460</f>
        <v>GT-R</v>
      </c>
      <c r="D460" s="6" t="str">
        <f>'Detailed Car List + Stats'!E460</f>
        <v>Modern Supercars</v>
      </c>
      <c r="E460" s="32" t="s">
        <v>808</v>
      </c>
      <c r="F460" s="6" t="str">
        <f>'Detailed Car List + Stats'!G460</f>
        <v>Japan</v>
      </c>
      <c r="G460" s="19">
        <f>'Detailed Car List + Stats'!H460</f>
        <v>115000</v>
      </c>
      <c r="H460" s="10" t="s">
        <v>27</v>
      </c>
      <c r="I460" s="6" t="str">
        <f>'Detailed Car List + Stats'!T460</f>
        <v>Autoshow, Wheelspin</v>
      </c>
      <c r="J460" s="2" t="str">
        <f>'Detailed Car List + Stats'!U460</f>
        <v/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6.5" customHeight="1">
      <c r="A461" s="6" t="str">
        <f>'Detailed Car List + Stats'!B461</f>
        <v>2012</v>
      </c>
      <c r="B461" s="6" t="str">
        <f>'Detailed Car List + Stats'!C461</f>
        <v>Nissan</v>
      </c>
      <c r="C461" s="6" t="str">
        <f>'Detailed Car List + Stats'!D461</f>
        <v>GT-R Black Edition</v>
      </c>
      <c r="D461" s="6" t="str">
        <f>'Detailed Car List + Stats'!E461</f>
        <v>Modern Supercars</v>
      </c>
      <c r="E461" s="32" t="s">
        <v>984</v>
      </c>
      <c r="F461" s="6" t="str">
        <f>'Detailed Car List + Stats'!G461</f>
        <v>Japan</v>
      </c>
      <c r="G461" s="19">
        <f>'Detailed Car List + Stats'!H461</f>
        <v>80000</v>
      </c>
      <c r="H461" s="10" t="s">
        <v>27</v>
      </c>
      <c r="I461" s="6" t="str">
        <f>'Detailed Car List + Stats'!T461</f>
        <v>Autoshow, Wheelspin</v>
      </c>
      <c r="J461" s="2" t="str">
        <f>'Detailed Car List + Stats'!U461</f>
        <v/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6.5" customHeight="1">
      <c r="A462" s="5" t="str">
        <f>'Detailed Car List + Stats'!B462</f>
        <v>2012</v>
      </c>
      <c r="B462" s="5" t="str">
        <f>'Detailed Car List + Stats'!C462</f>
        <v>Nissan</v>
      </c>
      <c r="C462" s="5" t="str">
        <f>'Detailed Car List + Stats'!D462</f>
        <v>GT-R Black Edition Forza Edition</v>
      </c>
      <c r="D462" s="5" t="str">
        <f>'Detailed Car List + Stats'!E462</f>
        <v>Extreme Track Toys</v>
      </c>
      <c r="E462" s="50" t="s">
        <v>541</v>
      </c>
      <c r="F462" s="5" t="str">
        <f>'Detailed Car List + Stats'!G462</f>
        <v>Japan</v>
      </c>
      <c r="G462" s="9">
        <f>'Detailed Car List + Stats'!H462</f>
        <v>750000</v>
      </c>
      <c r="H462" s="53" t="s">
        <v>430</v>
      </c>
      <c r="I462" s="5" t="str">
        <f>'Detailed Car List + Stats'!T462</f>
        <v>Wheelspin, Seasonal</v>
      </c>
      <c r="J462" s="21" t="str">
        <f>'Detailed Car List + Stats'!U462</f>
        <v/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6.5" customHeight="1">
      <c r="A463" s="6" t="str">
        <f>'Detailed Car List + Stats'!B463</f>
        <v>2020</v>
      </c>
      <c r="B463" s="6" t="str">
        <f>'Detailed Car List + Stats'!C463</f>
        <v>Nissan</v>
      </c>
      <c r="C463" s="6" t="str">
        <f>'Detailed Car List + Stats'!D463</f>
        <v>GT-R Nismo</v>
      </c>
      <c r="D463" s="6" t="str">
        <f>'Detailed Car List + Stats'!E463</f>
        <v>Track Toys</v>
      </c>
      <c r="E463" s="32" t="s">
        <v>987</v>
      </c>
      <c r="F463" s="6" t="str">
        <f>'Detailed Car List + Stats'!G463</f>
        <v>Japan</v>
      </c>
      <c r="G463" s="19">
        <f>'Detailed Car List + Stats'!H463</f>
        <v>270000</v>
      </c>
      <c r="H463" s="34" t="s">
        <v>62</v>
      </c>
      <c r="I463" s="6" t="str">
        <f>'Detailed Car List + Stats'!T463</f>
        <v>Autoshow, Wheelspin</v>
      </c>
      <c r="J463" s="2" t="str">
        <f>'Detailed Car List + Stats'!U463</f>
        <v/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6.5" customHeight="1">
      <c r="A464" s="6" t="str">
        <f>'Detailed Car List + Stats'!B464</f>
        <v>2024</v>
      </c>
      <c r="B464" s="6" t="str">
        <f>'Detailed Car List + Stats'!C464</f>
        <v>Nissan</v>
      </c>
      <c r="C464" s="6" t="str">
        <f>'Detailed Car List + Stats'!D464</f>
        <v>GT-R Nismo</v>
      </c>
      <c r="D464" s="6" t="str">
        <f>'Detailed Car List + Stats'!E464</f>
        <v>Track Toys</v>
      </c>
      <c r="E464" s="32" t="s">
        <v>151</v>
      </c>
      <c r="F464" s="6" t="str">
        <f>'Detailed Car List + Stats'!G464</f>
        <v>Japan</v>
      </c>
      <c r="G464" s="19">
        <f>'Detailed Car List + Stats'!H464</f>
        <v>220000</v>
      </c>
      <c r="H464" s="34" t="s">
        <v>62</v>
      </c>
      <c r="I464" s="6" t="str">
        <f>'Detailed Car List + Stats'!T464</f>
        <v>Autoshow, Collection Journal</v>
      </c>
      <c r="J464" s="2" t="str">
        <f>'Detailed Car List + Stats'!U464</f>
        <v/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6.5" customHeight="1">
      <c r="A465" s="6" t="str">
        <f>'Detailed Car List + Stats'!B465</f>
        <v>1995</v>
      </c>
      <c r="B465" s="6" t="str">
        <f>'Detailed Car List + Stats'!C465</f>
        <v>Nissan</v>
      </c>
      <c r="C465" s="6" t="str">
        <f>'Detailed Car List + Stats'!D465</f>
        <v>Nismo GT-R LM</v>
      </c>
      <c r="D465" s="6" t="str">
        <f>'Detailed Car List + Stats'!E465</f>
        <v>Retro Sports Cars</v>
      </c>
      <c r="E465" s="25" t="s">
        <v>989</v>
      </c>
      <c r="F465" s="6" t="str">
        <f>'Detailed Car List + Stats'!G465</f>
        <v>Japan</v>
      </c>
      <c r="G465" s="19">
        <f>'Detailed Car List + Stats'!H465</f>
        <v>1100000</v>
      </c>
      <c r="H465" s="35" t="s">
        <v>76</v>
      </c>
      <c r="I465" s="6" t="str">
        <f>'Detailed Car List + Stats'!T465</f>
        <v>Autoshow, Wheelspin</v>
      </c>
      <c r="J465" s="2" t="str">
        <f>'Detailed Car List + Stats'!U465</f>
        <v/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6.5" customHeight="1">
      <c r="A466" s="5" t="str">
        <f>'Detailed Car List + Stats'!B466</f>
        <v>1989</v>
      </c>
      <c r="B466" s="5" t="str">
        <f>'Detailed Car List + Stats'!C466</f>
        <v>Nissan</v>
      </c>
      <c r="C466" s="5" t="str">
        <f>'Detailed Car List + Stats'!D466</f>
        <v>Pao</v>
      </c>
      <c r="D466" s="5" t="str">
        <f>'Detailed Car List + Stats'!E466</f>
        <v>Eclectic Domestics</v>
      </c>
      <c r="E466" s="17" t="s">
        <v>991</v>
      </c>
      <c r="F466" s="5" t="str">
        <f>'Detailed Car List + Stats'!G466</f>
        <v>Japan</v>
      </c>
      <c r="G466" s="9">
        <f>'Detailed Car List + Stats'!H466</f>
        <v>12000</v>
      </c>
      <c r="H466" s="35" t="s">
        <v>678</v>
      </c>
      <c r="I466" s="5" t="str">
        <f>'Detailed Car List + Stats'!T466</f>
        <v>Collection Journal</v>
      </c>
      <c r="J466" s="21" t="str">
        <f>'Detailed Car List + Stats'!U466</f>
        <v/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6.5" customHeight="1">
      <c r="A467" s="37" t="str">
        <f>'Detailed Car List + Stats'!B467</f>
        <v>1972</v>
      </c>
      <c r="B467" s="37" t="str">
        <f>'Detailed Car List + Stats'!C467</f>
        <v>Nissan</v>
      </c>
      <c r="C467" s="37" t="str">
        <f>'Detailed Car List + Stats'!D467</f>
        <v>Patrol</v>
      </c>
      <c r="D467" s="37" t="str">
        <f>'Detailed Car List + Stats'!E467</f>
        <v>Offroad</v>
      </c>
      <c r="E467" s="17" t="s">
        <v>993</v>
      </c>
      <c r="F467" s="37" t="str">
        <f>'Detailed Car List + Stats'!G467</f>
        <v>Japan</v>
      </c>
      <c r="G467" s="38">
        <f>'Detailed Car List + Stats'!H467</f>
        <v>20000</v>
      </c>
      <c r="H467" s="20" t="s">
        <v>33</v>
      </c>
      <c r="I467" s="37" t="str">
        <f>'Detailed Car List + Stats'!T467</f>
        <v>Autoshow DLC</v>
      </c>
      <c r="J467" s="37" t="str">
        <f>'Detailed Car List + Stats'!U467</f>
        <v>Car Pass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6.5" customHeight="1">
      <c r="A468" s="6" t="str">
        <f>'Detailed Car List + Stats'!B468</f>
        <v>1990</v>
      </c>
      <c r="B468" s="6" t="str">
        <f>'Detailed Car List + Stats'!C468</f>
        <v>Nissan</v>
      </c>
      <c r="C468" s="6" t="str">
        <f>'Detailed Car List + Stats'!D468</f>
        <v>Pulsar GTI-R</v>
      </c>
      <c r="D468" s="6" t="str">
        <f>'Detailed Car List + Stats'!E468</f>
        <v>Retro Rally</v>
      </c>
      <c r="E468" s="8" t="s">
        <v>995</v>
      </c>
      <c r="F468" s="6" t="str">
        <f>'Detailed Car List + Stats'!G468</f>
        <v>Japan</v>
      </c>
      <c r="G468" s="19">
        <f>'Detailed Car List + Stats'!H468</f>
        <v>28000</v>
      </c>
      <c r="H468" s="10" t="s">
        <v>27</v>
      </c>
      <c r="I468" s="6" t="str">
        <f>'Detailed Car List + Stats'!T468</f>
        <v>Autoshow, Wheelspin</v>
      </c>
      <c r="J468" s="2" t="str">
        <f>'Detailed Car List + Stats'!U468</f>
        <v/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6.5" customHeight="1">
      <c r="A469" s="5" t="str">
        <f>'Detailed Car List + Stats'!B469</f>
        <v>1998</v>
      </c>
      <c r="B469" s="5" t="str">
        <f>'Detailed Car List + Stats'!C469</f>
        <v>Nissan</v>
      </c>
      <c r="C469" s="5" t="str">
        <f>'Detailed Car List + Stats'!D469</f>
        <v>R390 GT1</v>
      </c>
      <c r="D469" s="5" t="str">
        <f>'Detailed Car List + Stats'!E469</f>
        <v>Retro Supercars</v>
      </c>
      <c r="E469" s="32" t="s">
        <v>460</v>
      </c>
      <c r="F469" s="5" t="str">
        <f>'Detailed Car List + Stats'!G469</f>
        <v>Japan</v>
      </c>
      <c r="G469" s="9">
        <f>'Detailed Car List + Stats'!H469</f>
        <v>1000000</v>
      </c>
      <c r="H469" s="35" t="s">
        <v>678</v>
      </c>
      <c r="I469" s="5" t="str">
        <f>'Detailed Car List + Stats'!T469</f>
        <v>Collection Journal</v>
      </c>
      <c r="J469" s="21" t="str">
        <f>'Detailed Car List + Stats'!U469</f>
        <v/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6.5" customHeight="1">
      <c r="A470" s="6" t="str">
        <f>'Detailed Car List + Stats'!B470</f>
        <v>1989</v>
      </c>
      <c r="B470" s="6" t="str">
        <f>'Detailed Car List + Stats'!C470</f>
        <v>Nissan</v>
      </c>
      <c r="C470" s="6" t="str">
        <f>'Detailed Car List + Stats'!D470</f>
        <v>S-Cargo</v>
      </c>
      <c r="D470" s="6" t="str">
        <f>'Detailed Car List + Stats'!E470</f>
        <v>Eclectic Domestics</v>
      </c>
      <c r="E470" s="17" t="s">
        <v>998</v>
      </c>
      <c r="F470" s="6" t="str">
        <f>'Detailed Car List + Stats'!G470</f>
        <v>Japan</v>
      </c>
      <c r="G470" s="19">
        <f>'Detailed Car List + Stats'!H470</f>
        <v>19000</v>
      </c>
      <c r="H470" s="10" t="s">
        <v>27</v>
      </c>
      <c r="I470" s="6" t="str">
        <f>'Detailed Car List + Stats'!T470</f>
        <v>Autoshow, Wheelspin</v>
      </c>
      <c r="J470" s="2" t="str">
        <f>'Detailed Car List + Stats'!U470</f>
        <v/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6.5" customHeight="1">
      <c r="A471" s="5" t="str">
        <f>'Detailed Car List + Stats'!B471</f>
        <v>1989</v>
      </c>
      <c r="B471" s="5" t="str">
        <f>'Detailed Car List + Stats'!C471</f>
        <v>Nissan</v>
      </c>
      <c r="C471" s="5" t="str">
        <f>'Detailed Car List + Stats'!D471</f>
        <v>S-Cargo Forza Edition</v>
      </c>
      <c r="D471" s="5" t="str">
        <f>'Detailed Car List + Stats'!E471</f>
        <v>Track Toys</v>
      </c>
      <c r="E471" s="32" t="s">
        <v>277</v>
      </c>
      <c r="F471" s="5" t="str">
        <f>'Detailed Car List + Stats'!G471</f>
        <v>Japan</v>
      </c>
      <c r="G471" s="9" t="str">
        <f>'Detailed Car List + Stats'!H471</f>
        <v/>
      </c>
      <c r="H471" s="48"/>
      <c r="I471" s="5" t="str">
        <f>'Detailed Car List + Stats'!T471</f>
        <v>Wheelspin, Seasonal</v>
      </c>
      <c r="J471" s="21" t="str">
        <f>'Detailed Car List + Stats'!U471</f>
        <v/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6.5" customHeight="1">
      <c r="A472" s="5" t="str">
        <f>'Detailed Car List + Stats'!B472</f>
        <v>1985</v>
      </c>
      <c r="B472" s="5" t="str">
        <f>'Detailed Car List + Stats'!C472</f>
        <v>Nissan</v>
      </c>
      <c r="C472" s="5" t="str">
        <f>'Detailed Car List + Stats'!D472</f>
        <v>Safari Turbo</v>
      </c>
      <c r="D472" s="5" t="str">
        <f>'Detailed Car List + Stats'!E472</f>
        <v>Pickups &amp; 4x4s</v>
      </c>
      <c r="E472" s="17" t="s">
        <v>1001</v>
      </c>
      <c r="F472" s="5" t="str">
        <f>'Detailed Car List + Stats'!G472</f>
        <v>Japan</v>
      </c>
      <c r="G472" s="9">
        <f>'Detailed Car List + Stats'!H472</f>
        <v>25000</v>
      </c>
      <c r="H472" s="35" t="s">
        <v>255</v>
      </c>
      <c r="I472" s="5" t="str">
        <f>'Detailed Car List + Stats'!T472</f>
        <v>Collection Journal</v>
      </c>
      <c r="J472" s="21" t="str">
        <f>'Detailed Car List + Stats'!U472</f>
        <v/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6.5" customHeight="1">
      <c r="A473" s="6" t="str">
        <f>'Detailed Car List + Stats'!B473</f>
        <v>1989</v>
      </c>
      <c r="B473" s="6" t="str">
        <f>'Detailed Car List + Stats'!C473</f>
        <v>Nissan</v>
      </c>
      <c r="C473" s="6" t="str">
        <f>'Detailed Car List + Stats'!D473</f>
        <v>Silvia K's</v>
      </c>
      <c r="D473" s="6" t="str">
        <f>'Detailed Car List + Stats'!E473</f>
        <v>Retro Sports Cars</v>
      </c>
      <c r="E473" s="8" t="s">
        <v>419</v>
      </c>
      <c r="F473" s="6" t="str">
        <f>'Detailed Car List + Stats'!G473</f>
        <v>Japan</v>
      </c>
      <c r="G473" s="19">
        <f>'Detailed Car List + Stats'!H473</f>
        <v>40000</v>
      </c>
      <c r="H473" s="20" t="s">
        <v>33</v>
      </c>
      <c r="I473" s="6" t="str">
        <f>'Detailed Car List + Stats'!T473</f>
        <v>Autoshow</v>
      </c>
      <c r="J473" s="2" t="str">
        <f>'Detailed Car List + Stats'!U473</f>
        <v/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6.5" customHeight="1">
      <c r="A474" s="6" t="str">
        <f>'Detailed Car List + Stats'!B474</f>
        <v>1994</v>
      </c>
      <c r="B474" s="6" t="str">
        <f>'Detailed Car List + Stats'!C474</f>
        <v>Nissan</v>
      </c>
      <c r="C474" s="6" t="str">
        <f>'Detailed Car List + Stats'!D474</f>
        <v>Silvia K's</v>
      </c>
      <c r="D474" s="6" t="str">
        <f>'Detailed Car List + Stats'!E474</f>
        <v>Retro Sports Cars</v>
      </c>
      <c r="E474" s="8" t="s">
        <v>840</v>
      </c>
      <c r="F474" s="6" t="str">
        <f>'Detailed Car List + Stats'!G474</f>
        <v>Japan</v>
      </c>
      <c r="G474" s="19">
        <f>'Detailed Car List + Stats'!H474</f>
        <v>20000</v>
      </c>
      <c r="H474" s="20" t="s">
        <v>33</v>
      </c>
      <c r="I474" s="6" t="str">
        <f>'Detailed Car List + Stats'!T474</f>
        <v>Autoshow, Wheelspin</v>
      </c>
      <c r="J474" s="2" t="str">
        <f>'Detailed Car List + Stats'!U474</f>
        <v/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6.5" customHeight="1">
      <c r="A475" s="6" t="str">
        <f>'Detailed Car List + Stats'!B475</f>
        <v>1998</v>
      </c>
      <c r="B475" s="6" t="str">
        <f>'Detailed Car List + Stats'!C475</f>
        <v>Nissan</v>
      </c>
      <c r="C475" s="6" t="str">
        <f>'Detailed Car List + Stats'!D475</f>
        <v>Silvia K's Aero</v>
      </c>
      <c r="D475" s="6" t="str">
        <f>'Detailed Car List + Stats'!E475</f>
        <v>Retro Sports Cars</v>
      </c>
      <c r="E475" s="8" t="s">
        <v>443</v>
      </c>
      <c r="F475" s="6" t="str">
        <f>'Detailed Car List + Stats'!G475</f>
        <v>Japan</v>
      </c>
      <c r="G475" s="19">
        <f>'Detailed Car List + Stats'!H475</f>
        <v>22000</v>
      </c>
      <c r="H475" s="20" t="s">
        <v>33</v>
      </c>
      <c r="I475" s="6" t="str">
        <f>'Detailed Car List + Stats'!T475</f>
        <v>Autoshow, Wheelspin</v>
      </c>
      <c r="J475" s="2" t="str">
        <f>'Detailed Car List + Stats'!U475</f>
        <v/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6.5" customHeight="1">
      <c r="A476" s="6" t="str">
        <f>'Detailed Car List + Stats'!B476</f>
        <v>2002</v>
      </c>
      <c r="B476" s="6" t="str">
        <f>'Detailed Car List + Stats'!C476</f>
        <v>Nissan</v>
      </c>
      <c r="C476" s="6" t="str">
        <f>'Detailed Car List + Stats'!D476</f>
        <v>Silvia Spec-R</v>
      </c>
      <c r="D476" s="6" t="str">
        <f>'Detailed Car List + Stats'!E476</f>
        <v>Retro Sports Cars</v>
      </c>
      <c r="E476" s="25" t="s">
        <v>544</v>
      </c>
      <c r="F476" s="6" t="str">
        <f>'Detailed Car List + Stats'!G476</f>
        <v>Japan</v>
      </c>
      <c r="G476" s="19">
        <f>'Detailed Car List + Stats'!H476</f>
        <v>44000</v>
      </c>
      <c r="H476" s="20" t="s">
        <v>33</v>
      </c>
      <c r="I476" s="6" t="str">
        <f>'Detailed Car List + Stats'!T476</f>
        <v>Autoshow, Wheelspin</v>
      </c>
      <c r="J476" s="2" t="str">
        <f>'Detailed Car List + Stats'!U476</f>
        <v/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6.5" customHeight="1">
      <c r="A477" s="37" t="str">
        <f>'Detailed Car List + Stats'!B477</f>
        <v>1983</v>
      </c>
      <c r="B477" s="37" t="str">
        <f>'Detailed Car List + Stats'!C477</f>
        <v>Nissan</v>
      </c>
      <c r="C477" s="37" t="str">
        <f>'Detailed Car List + Stats'!D477</f>
        <v>Skyline 2000 Turbo RS</v>
      </c>
      <c r="D477" s="37" t="str">
        <f>'Detailed Car List + Stats'!E477</f>
        <v>Retro Sports Cars</v>
      </c>
      <c r="E477" s="8" t="s">
        <v>709</v>
      </c>
      <c r="F477" s="37" t="str">
        <f>'Detailed Car List + Stats'!G477</f>
        <v>Japan</v>
      </c>
      <c r="G477" s="38" t="str">
        <f>'Detailed Car List + Stats'!H477</f>
        <v/>
      </c>
      <c r="H477" s="19"/>
      <c r="I477" s="37" t="str">
        <f>'Detailed Car List + Stats'!T477</f>
        <v>Autoshow DLC</v>
      </c>
      <c r="J477" s="37" t="str">
        <f>'Detailed Car List + Stats'!U477</f>
        <v>Car Pass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6.5" customHeight="1">
      <c r="A478" s="5" t="str">
        <f>'Detailed Car List + Stats'!B478</f>
        <v>1971</v>
      </c>
      <c r="B478" s="5" t="str">
        <f>'Detailed Car List + Stats'!C478</f>
        <v>Nissan</v>
      </c>
      <c r="C478" s="5" t="str">
        <f>'Detailed Car List + Stats'!D478</f>
        <v>Skyline 2000GT-R</v>
      </c>
      <c r="D478" s="5" t="str">
        <f>'Detailed Car List + Stats'!E478</f>
        <v>Classic Sports Cars</v>
      </c>
      <c r="E478" s="17" t="s">
        <v>1007</v>
      </c>
      <c r="F478" s="5" t="str">
        <f>'Detailed Car List + Stats'!G478</f>
        <v>Japan</v>
      </c>
      <c r="G478" s="9">
        <f>'Detailed Car List + Stats'!H478</f>
        <v>169000</v>
      </c>
      <c r="H478" s="35" t="s">
        <v>678</v>
      </c>
      <c r="I478" s="5" t="str">
        <f>'Detailed Car List + Stats'!T478</f>
        <v>Collection Journal</v>
      </c>
      <c r="J478" s="21" t="str">
        <f>'Detailed Car List + Stats'!U478</f>
        <v/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6.5" customHeight="1">
      <c r="A479" s="6" t="str">
        <f>'Detailed Car List + Stats'!B479</f>
        <v>1992</v>
      </c>
      <c r="B479" s="6" t="str">
        <f>'Detailed Car List + Stats'!C479</f>
        <v>Nissan</v>
      </c>
      <c r="C479" s="6" t="str">
        <f>'Detailed Car List + Stats'!D479</f>
        <v>Skyline GT-R</v>
      </c>
      <c r="D479" s="6" t="str">
        <f>'Detailed Car List + Stats'!E479</f>
        <v>Retro Sports Cars</v>
      </c>
      <c r="E479" s="25" t="s">
        <v>1009</v>
      </c>
      <c r="F479" s="6" t="str">
        <f>'Detailed Car List + Stats'!G479</f>
        <v>Japan</v>
      </c>
      <c r="G479" s="19">
        <f>'Detailed Car List + Stats'!H479</f>
        <v>72000</v>
      </c>
      <c r="H479" s="10" t="s">
        <v>27</v>
      </c>
      <c r="I479" s="6" t="str">
        <f>'Detailed Car List + Stats'!T479</f>
        <v>Autoshow, Wheelspin</v>
      </c>
      <c r="J479" s="2" t="str">
        <f>'Detailed Car List + Stats'!U479</f>
        <v/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6.5" customHeight="1">
      <c r="A480" s="37" t="str">
        <f>'Detailed Car List + Stats'!B480</f>
        <v>1998</v>
      </c>
      <c r="B480" s="37" t="str">
        <f>'Detailed Car List + Stats'!C480</f>
        <v>Nissan</v>
      </c>
      <c r="C480" s="37" t="str">
        <f>'Detailed Car List + Stats'!D480</f>
        <v>Skyline GT-R 40th Anniversary</v>
      </c>
      <c r="D480" s="37" t="str">
        <f>'Detailed Car List + Stats'!E480</f>
        <v>Retro Sports Cars</v>
      </c>
      <c r="E480" s="25" t="s">
        <v>424</v>
      </c>
      <c r="F480" s="37" t="str">
        <f>'Detailed Car List + Stats'!G480</f>
        <v>Japan</v>
      </c>
      <c r="G480" s="38">
        <f>'Detailed Car List + Stats'!H480</f>
        <v>120000</v>
      </c>
      <c r="H480" s="35" t="s">
        <v>76</v>
      </c>
      <c r="I480" s="37" t="str">
        <f>'Detailed Car List + Stats'!T480</f>
        <v>Autoshow DLC</v>
      </c>
      <c r="J480" s="37" t="str">
        <f>'Detailed Car List + Stats'!U480</f>
        <v>Car Pass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6.5" customHeight="1">
      <c r="A481" s="6" t="str">
        <f>'Detailed Car List + Stats'!B481</f>
        <v>2000</v>
      </c>
      <c r="B481" s="6" t="str">
        <f>'Detailed Car List + Stats'!C481</f>
        <v>Nissan</v>
      </c>
      <c r="C481" s="6" t="str">
        <f>'Detailed Car List + Stats'!D481</f>
        <v>Skyline GT-R V Spec II</v>
      </c>
      <c r="D481" s="6" t="str">
        <f>'Detailed Car List + Stats'!E481</f>
        <v>Retro Sports Cars</v>
      </c>
      <c r="E481" s="25" t="s">
        <v>1012</v>
      </c>
      <c r="F481" s="6" t="str">
        <f>'Detailed Car List + Stats'!G481</f>
        <v>Japan</v>
      </c>
      <c r="G481" s="19">
        <f>'Detailed Car List + Stats'!H481</f>
        <v>200000</v>
      </c>
      <c r="H481" s="10" t="s">
        <v>27</v>
      </c>
      <c r="I481" s="6" t="str">
        <f>'Detailed Car List + Stats'!T481</f>
        <v>Autoshow, Wheelspin</v>
      </c>
      <c r="J481" s="2" t="str">
        <f>'Detailed Car List + Stats'!U481</f>
        <v/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6.5" customHeight="1">
      <c r="A482" s="5" t="str">
        <f>'Detailed Car List + Stats'!B482</f>
        <v>1997</v>
      </c>
      <c r="B482" s="5" t="str">
        <f>'Detailed Car List + Stats'!C482</f>
        <v>Nissan</v>
      </c>
      <c r="C482" s="5" t="str">
        <f>'Detailed Car List + Stats'!D482</f>
        <v>Skyline GT-R V-Spec</v>
      </c>
      <c r="D482" s="5" t="str">
        <f>'Detailed Car List + Stats'!E482</f>
        <v>Retro Sports Cars</v>
      </c>
      <c r="E482" s="25" t="s">
        <v>785</v>
      </c>
      <c r="F482" s="5" t="str">
        <f>'Detailed Car List + Stats'!G482</f>
        <v>Japan</v>
      </c>
      <c r="G482" s="9">
        <f>'Detailed Car List + Stats'!H482</f>
        <v>250000</v>
      </c>
      <c r="H482" s="10" t="s">
        <v>27</v>
      </c>
      <c r="I482" s="5" t="str">
        <f>'Detailed Car List + Stats'!T482</f>
        <v>Seasonal</v>
      </c>
      <c r="J482" s="21" t="str">
        <f>'Detailed Car List + Stats'!U482</f>
        <v/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6.5" customHeight="1">
      <c r="A483" s="6" t="str">
        <f>'Detailed Car List + Stats'!B483</f>
        <v>1987</v>
      </c>
      <c r="B483" s="6" t="str">
        <f>'Detailed Car List + Stats'!C483</f>
        <v>Nissan</v>
      </c>
      <c r="C483" s="6" t="str">
        <f>'Detailed Car List + Stats'!D483</f>
        <v>Skyline GTS-R</v>
      </c>
      <c r="D483" s="6" t="str">
        <f>'Detailed Car List + Stats'!E483</f>
        <v>Retro Sports Cars</v>
      </c>
      <c r="E483" s="8" t="s">
        <v>566</v>
      </c>
      <c r="F483" s="6" t="str">
        <f>'Detailed Car List + Stats'!G483</f>
        <v>Japan</v>
      </c>
      <c r="G483" s="19" t="str">
        <f>'Detailed Car List + Stats'!H483</f>
        <v/>
      </c>
      <c r="H483" s="48"/>
      <c r="I483" s="6" t="str">
        <f>'Detailed Car List + Stats'!T483</f>
        <v>Autoshow</v>
      </c>
      <c r="J483" s="2" t="str">
        <f>'Detailed Car List + Stats'!U483</f>
        <v/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6.5" customHeight="1">
      <c r="A484" s="6" t="str">
        <f>'Detailed Car List + Stats'!B484</f>
        <v>1973</v>
      </c>
      <c r="B484" s="6" t="str">
        <f>'Detailed Car List + Stats'!C484</f>
        <v>Nissan</v>
      </c>
      <c r="C484" s="6" t="str">
        <f>'Detailed Car List + Stats'!D484</f>
        <v>Skyline H/T 2000GT-R</v>
      </c>
      <c r="D484" s="6" t="str">
        <f>'Detailed Car List + Stats'!E484</f>
        <v>Classic Sports Cars</v>
      </c>
      <c r="E484" s="8" t="s">
        <v>369</v>
      </c>
      <c r="F484" s="6" t="str">
        <f>'Detailed Car List + Stats'!G484</f>
        <v>Japan</v>
      </c>
      <c r="G484" s="19" t="str">
        <f>'Detailed Car List + Stats'!H484</f>
        <v/>
      </c>
      <c r="H484" s="48"/>
      <c r="I484" s="6" t="str">
        <f>'Detailed Car List + Stats'!T484</f>
        <v>Autoshow, Wheelspin</v>
      </c>
      <c r="J484" s="2" t="str">
        <f>'Detailed Car List + Stats'!U484</f>
        <v/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6.5" customHeight="1">
      <c r="A485" s="6" t="str">
        <f>'Detailed Car List + Stats'!B485</f>
        <v>1997</v>
      </c>
      <c r="B485" s="6" t="str">
        <f>'Detailed Car List + Stats'!C485</f>
        <v>Nissan</v>
      </c>
      <c r="C485" s="6" t="str">
        <f>'Detailed Car List + Stats'!D485</f>
        <v>Stagea RS Four V</v>
      </c>
      <c r="D485" s="6" t="str">
        <f>'Detailed Car List + Stats'!E485</f>
        <v>Retro Super Saloons</v>
      </c>
      <c r="E485" s="8" t="s">
        <v>70</v>
      </c>
      <c r="F485" s="6" t="str">
        <f>'Detailed Car List + Stats'!G485</f>
        <v>Japan</v>
      </c>
      <c r="G485" s="19">
        <f>'Detailed Car List + Stats'!H485</f>
        <v>20000</v>
      </c>
      <c r="H485" s="34" t="s">
        <v>62</v>
      </c>
      <c r="I485" s="6" t="str">
        <f>'Detailed Car List + Stats'!T485</f>
        <v>Autoshow, Wheelspin</v>
      </c>
      <c r="J485" s="2" t="str">
        <f>'Detailed Car List + Stats'!U485</f>
        <v/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6.5" customHeight="1">
      <c r="A486" s="6" t="str">
        <f>'Detailed Car List + Stats'!B486</f>
        <v>2024</v>
      </c>
      <c r="B486" s="6" t="str">
        <f>'Detailed Car List + Stats'!C486</f>
        <v>Nissan</v>
      </c>
      <c r="C486" s="6" t="str">
        <f>'Detailed Car List + Stats'!D486</f>
        <v>Z Nismo</v>
      </c>
      <c r="D486" s="6" t="str">
        <f>'Detailed Car List + Stats'!E486</f>
        <v>Modern Sports Cars</v>
      </c>
      <c r="E486" s="36" t="s">
        <v>286</v>
      </c>
      <c r="F486" s="6" t="str">
        <f>'Detailed Car List + Stats'!G486</f>
        <v>Japan</v>
      </c>
      <c r="G486" s="19">
        <f>'Detailed Car List + Stats'!H486</f>
        <v>60000</v>
      </c>
      <c r="H486" s="34" t="s">
        <v>62</v>
      </c>
      <c r="I486" s="6" t="str">
        <f>'Detailed Car List + Stats'!T486</f>
        <v>Autoshow, Wheelspin</v>
      </c>
      <c r="J486" s="2" t="str">
        <f>'Detailed Car List + Stats'!U486</f>
        <v/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6.5" customHeight="1">
      <c r="A487" s="6" t="str">
        <f>'Detailed Car List + Stats'!B487</f>
        <v>2010</v>
      </c>
      <c r="B487" s="6" t="str">
        <f>'Detailed Car List + Stats'!C487</f>
        <v>Noble</v>
      </c>
      <c r="C487" s="6" t="str">
        <f>'Detailed Car List + Stats'!D487</f>
        <v>M600</v>
      </c>
      <c r="D487" s="6" t="str">
        <f>'Detailed Car List + Stats'!E487</f>
        <v>Modern Supercars</v>
      </c>
      <c r="E487" s="32" t="s">
        <v>1020</v>
      </c>
      <c r="F487" s="6" t="str">
        <f>'Detailed Car List + Stats'!G487</f>
        <v>UK</v>
      </c>
      <c r="G487" s="19">
        <f>'Detailed Car List + Stats'!H487</f>
        <v>322000</v>
      </c>
      <c r="H487" s="34" t="s">
        <v>62</v>
      </c>
      <c r="I487" s="6" t="str">
        <f>'Detailed Car List + Stats'!T487</f>
        <v>Autoshow, Wheelspin</v>
      </c>
      <c r="J487" s="2" t="str">
        <f>'Detailed Car List + Stats'!U487</f>
        <v/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6.5" customHeight="1">
      <c r="A488" s="6" t="str">
        <f>'Detailed Car List + Stats'!B488</f>
        <v>1984</v>
      </c>
      <c r="B488" s="6" t="str">
        <f>'Detailed Car List + Stats'!C488</f>
        <v>Opel</v>
      </c>
      <c r="C488" s="6" t="str">
        <f>'Detailed Car List + Stats'!D488</f>
        <v>Manta 400</v>
      </c>
      <c r="D488" s="6" t="str">
        <f>'Detailed Car List + Stats'!E488</f>
        <v>Rally Monsters</v>
      </c>
      <c r="E488" s="25" t="s">
        <v>361</v>
      </c>
      <c r="F488" s="6" t="str">
        <f>'Detailed Car List + Stats'!G488</f>
        <v>Germany</v>
      </c>
      <c r="G488" s="19">
        <f>'Detailed Car List + Stats'!H488</f>
        <v>152000</v>
      </c>
      <c r="H488" s="10" t="s">
        <v>27</v>
      </c>
      <c r="I488" s="6" t="str">
        <f>'Detailed Car List + Stats'!T488</f>
        <v>Autoshow, Collection Journal</v>
      </c>
      <c r="J488" s="2" t="str">
        <f>'Detailed Car List + Stats'!U488</f>
        <v/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6.5" customHeight="1">
      <c r="A489" s="6" t="str">
        <f>'Detailed Car List + Stats'!B489</f>
        <v>2016</v>
      </c>
      <c r="B489" s="6" t="str">
        <f>'Detailed Car List + Stats'!C489</f>
        <v>Pagani</v>
      </c>
      <c r="C489" s="6" t="str">
        <f>'Detailed Car List + Stats'!D489</f>
        <v>Huayra BC Coupe</v>
      </c>
      <c r="D489" s="6" t="str">
        <f>'Detailed Car List + Stats'!E489</f>
        <v>Hypercars</v>
      </c>
      <c r="E489" s="50" t="s">
        <v>507</v>
      </c>
      <c r="F489" s="6" t="str">
        <f>'Detailed Car List + Stats'!G489</f>
        <v>Italy</v>
      </c>
      <c r="G489" s="19">
        <f>'Detailed Car List + Stats'!H489</f>
        <v>3600000</v>
      </c>
      <c r="H489" s="35" t="s">
        <v>76</v>
      </c>
      <c r="I489" s="6" t="str">
        <f>'Detailed Car List + Stats'!T489</f>
        <v>Autoshow, Wheelspin</v>
      </c>
      <c r="J489" s="2" t="str">
        <f>'Detailed Car List + Stats'!U489</f>
        <v/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6.5" customHeight="1">
      <c r="A490" s="5" t="str">
        <f>'Detailed Car List + Stats'!B490</f>
        <v>2021</v>
      </c>
      <c r="B490" s="5" t="str">
        <f>'Detailed Car List + Stats'!C490</f>
        <v>Pagani</v>
      </c>
      <c r="C490" s="5" t="str">
        <f>'Detailed Car List + Stats'!D490</f>
        <v>Huayra R</v>
      </c>
      <c r="D490" s="5" t="str">
        <f>'Detailed Car List + Stats'!E490</f>
        <v>Extreme Track Toys</v>
      </c>
      <c r="E490" s="49" t="s">
        <v>1026</v>
      </c>
      <c r="F490" s="5" t="str">
        <f>'Detailed Car List + Stats'!G490</f>
        <v>Italy</v>
      </c>
      <c r="G490" s="9">
        <f>'Detailed Car List + Stats'!H490</f>
        <v>2750000</v>
      </c>
      <c r="H490" s="35" t="s">
        <v>76</v>
      </c>
      <c r="I490" s="5" t="str">
        <f>'Detailed Car List + Stats'!T490</f>
        <v>Seasonal</v>
      </c>
      <c r="J490" s="21" t="str">
        <f>'Detailed Car List + Stats'!U490</f>
        <v/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6.5" customHeight="1">
      <c r="A491" s="6" t="str">
        <f>'Detailed Car List + Stats'!B491</f>
        <v>2010</v>
      </c>
      <c r="B491" s="6" t="str">
        <f>'Detailed Car List + Stats'!C491</f>
        <v>Pagani</v>
      </c>
      <c r="C491" s="6" t="str">
        <f>'Detailed Car List + Stats'!D491</f>
        <v>Zonda Cinque Roadster</v>
      </c>
      <c r="D491" s="6" t="str">
        <f>'Detailed Car List + Stats'!E491</f>
        <v>Hypercars</v>
      </c>
      <c r="E491" s="50" t="s">
        <v>1028</v>
      </c>
      <c r="F491" s="6" t="str">
        <f>'Detailed Car List + Stats'!G491</f>
        <v>Italy</v>
      </c>
      <c r="G491" s="19">
        <f>'Detailed Car List + Stats'!H491</f>
        <v>4000000</v>
      </c>
      <c r="H491" s="35" t="s">
        <v>76</v>
      </c>
      <c r="I491" s="6" t="str">
        <f>'Detailed Car List + Stats'!T491</f>
        <v>Autoshow</v>
      </c>
      <c r="J491" s="2" t="str">
        <f>'Detailed Car List + Stats'!U491</f>
        <v/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6.5" customHeight="1">
      <c r="A492" s="6" t="str">
        <f>'Detailed Car List + Stats'!B492</f>
        <v>2009</v>
      </c>
      <c r="B492" s="6" t="str">
        <f>'Detailed Car List + Stats'!C492</f>
        <v>Pagani</v>
      </c>
      <c r="C492" s="6" t="str">
        <f>'Detailed Car List + Stats'!D492</f>
        <v>Zonda R</v>
      </c>
      <c r="D492" s="6" t="str">
        <f>'Detailed Car List + Stats'!E492</f>
        <v>Extreme Track Toys</v>
      </c>
      <c r="E492" s="49" t="s">
        <v>1030</v>
      </c>
      <c r="F492" s="6" t="str">
        <f>'Detailed Car List + Stats'!G492</f>
        <v>Italy</v>
      </c>
      <c r="G492" s="19">
        <f>'Detailed Car List + Stats'!H492</f>
        <v>4750000</v>
      </c>
      <c r="H492" s="35" t="s">
        <v>76</v>
      </c>
      <c r="I492" s="6" t="str">
        <f>'Detailed Car List + Stats'!T492</f>
        <v>Autoshow, Wheelspin</v>
      </c>
      <c r="J492" s="2" t="str">
        <f>'Detailed Car List + Stats'!U492</f>
        <v/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6.5" customHeight="1">
      <c r="A493" s="6" t="str">
        <f>'Detailed Car List + Stats'!B493</f>
        <v>1962</v>
      </c>
      <c r="B493" s="6" t="str">
        <f>'Detailed Car List + Stats'!C493</f>
        <v>Peel</v>
      </c>
      <c r="C493" s="6" t="str">
        <f>'Detailed Car List + Stats'!D493</f>
        <v>P50</v>
      </c>
      <c r="D493" s="6" t="str">
        <f>'Detailed Car List + Stats'!E493</f>
        <v>Cult Cars</v>
      </c>
      <c r="E493" s="17" t="s">
        <v>32</v>
      </c>
      <c r="F493" s="6" t="str">
        <f>'Detailed Car List + Stats'!G493</f>
        <v>UK</v>
      </c>
      <c r="G493" s="19">
        <f>'Detailed Car List + Stats'!H493</f>
        <v>21000</v>
      </c>
      <c r="H493" s="35" t="s">
        <v>76</v>
      </c>
      <c r="I493" s="6" t="str">
        <f>'Detailed Car List + Stats'!T493</f>
        <v>Autoshow, Wheelspin</v>
      </c>
      <c r="J493" s="2" t="str">
        <f>'Detailed Car List + Stats'!U493</f>
        <v/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6.5" customHeight="1">
      <c r="A494" s="37" t="str">
        <f>'Detailed Car List + Stats'!B494</f>
        <v>1962</v>
      </c>
      <c r="B494" s="37" t="str">
        <f>'Detailed Car List + Stats'!C494</f>
        <v>Peel</v>
      </c>
      <c r="C494" s="37" t="str">
        <f>'Detailed Car List + Stats'!D494</f>
        <v>P50 Trolli Edition</v>
      </c>
      <c r="D494" s="37" t="str">
        <f>'Detailed Car List + Stats'!E494</f>
        <v>Cult Cars</v>
      </c>
      <c r="E494" s="17" t="s">
        <v>32</v>
      </c>
      <c r="F494" s="37" t="str">
        <f>'Detailed Car List + Stats'!G494</f>
        <v>UK</v>
      </c>
      <c r="G494" s="38">
        <f>'Detailed Car List + Stats'!H494</f>
        <v>21000</v>
      </c>
      <c r="H494" s="35" t="s">
        <v>76</v>
      </c>
      <c r="I494" s="37" t="str">
        <f>'Detailed Car List + Stats'!T494</f>
        <v>Autoshow DLC</v>
      </c>
      <c r="J494" s="37" t="str">
        <f>'Detailed Car List + Stats'!U494</f>
        <v>Partnership DLC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6.5" customHeight="1">
      <c r="A495" s="6" t="str">
        <f>'Detailed Car List + Stats'!B495</f>
        <v>2011</v>
      </c>
      <c r="B495" s="6" t="str">
        <f>'Detailed Car List + Stats'!C495</f>
        <v>Penhall</v>
      </c>
      <c r="C495" s="6" t="str">
        <f>'Detailed Car List + Stats'!D495</f>
        <v>The Cholla</v>
      </c>
      <c r="D495" s="6" t="str">
        <f>'Detailed Car List + Stats'!E495</f>
        <v>Unlimited Buggies</v>
      </c>
      <c r="E495" s="25" t="s">
        <v>1009</v>
      </c>
      <c r="F495" s="6" t="str">
        <f>'Detailed Car List + Stats'!G495</f>
        <v>USA</v>
      </c>
      <c r="G495" s="19">
        <f>'Detailed Car List + Stats'!H495</f>
        <v>85000</v>
      </c>
      <c r="H495" s="10" t="s">
        <v>27</v>
      </c>
      <c r="I495" s="6" t="str">
        <f>'Detailed Car List + Stats'!T495</f>
        <v>Autoshow, Wheelspin</v>
      </c>
      <c r="J495" s="2" t="str">
        <f>'Detailed Car List + Stats'!U495</f>
        <v/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6.5" customHeight="1">
      <c r="A496" s="6" t="str">
        <f>'Detailed Car List + Stats'!B496</f>
        <v>1991</v>
      </c>
      <c r="B496" s="6" t="str">
        <f>'Detailed Car List + Stats'!C496</f>
        <v>Peugeot</v>
      </c>
      <c r="C496" s="6" t="str">
        <f>'Detailed Car List + Stats'!D496</f>
        <v>205 Rallye</v>
      </c>
      <c r="D496" s="6" t="str">
        <f>'Detailed Car List + Stats'!E496</f>
        <v>Retro Hot Hatch</v>
      </c>
      <c r="E496" s="17" t="s">
        <v>722</v>
      </c>
      <c r="F496" s="6" t="str">
        <f>'Detailed Car List + Stats'!G496</f>
        <v>France</v>
      </c>
      <c r="G496" s="19">
        <f>'Detailed Car List + Stats'!H496</f>
        <v>22000</v>
      </c>
      <c r="H496" s="10" t="s">
        <v>27</v>
      </c>
      <c r="I496" s="6" t="str">
        <f>'Detailed Car List + Stats'!T496</f>
        <v>Autoshow, Wheelspin</v>
      </c>
      <c r="J496" s="2" t="str">
        <f>'Detailed Car List + Stats'!U496</f>
        <v/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6.5" customHeight="1">
      <c r="A497" s="5" t="str">
        <f>'Detailed Car List + Stats'!B497</f>
        <v>1984</v>
      </c>
      <c r="B497" s="5" t="str">
        <f>'Detailed Car List + Stats'!C497</f>
        <v>Peugeot</v>
      </c>
      <c r="C497" s="5" t="str">
        <f>'Detailed Car List + Stats'!D497</f>
        <v>205 Turbo 16</v>
      </c>
      <c r="D497" s="5" t="str">
        <f>'Detailed Car List + Stats'!E497</f>
        <v>Retro Rally</v>
      </c>
      <c r="E497" s="8" t="s">
        <v>532</v>
      </c>
      <c r="F497" s="5" t="str">
        <f>'Detailed Car List + Stats'!G497</f>
        <v>France</v>
      </c>
      <c r="G497" s="9">
        <f>'Detailed Car List + Stats'!H497</f>
        <v>275000</v>
      </c>
      <c r="H497" s="35" t="s">
        <v>678</v>
      </c>
      <c r="I497" s="5" t="str">
        <f>'Detailed Car List + Stats'!T497</f>
        <v>Collection Journal</v>
      </c>
      <c r="J497" s="21" t="str">
        <f>'Detailed Car List + Stats'!U497</f>
        <v/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6.5" customHeight="1">
      <c r="A498" s="5" t="str">
        <f>'Detailed Car List + Stats'!B498</f>
        <v>2007</v>
      </c>
      <c r="B498" s="5" t="str">
        <f>'Detailed Car List + Stats'!C498</f>
        <v>Peugeot</v>
      </c>
      <c r="C498" s="5" t="str">
        <f>'Detailed Car List + Stats'!D498</f>
        <v>207 Super 2000</v>
      </c>
      <c r="D498" s="5" t="str">
        <f>'Detailed Car List + Stats'!E498</f>
        <v>Rally Monsters</v>
      </c>
      <c r="E498" s="36" t="s">
        <v>1042</v>
      </c>
      <c r="F498" s="5" t="str">
        <f>'Detailed Car List + Stats'!G498</f>
        <v>France</v>
      </c>
      <c r="G498" s="9" t="str">
        <f>'Detailed Car List + Stats'!H498</f>
        <v/>
      </c>
      <c r="H498" s="48"/>
      <c r="I498" s="5" t="str">
        <f>'Detailed Car List + Stats'!T498</f>
        <v>Seasonal</v>
      </c>
      <c r="J498" s="21" t="str">
        <f>'Detailed Car List + Stats'!U498</f>
        <v/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6.5" customHeight="1">
      <c r="A499" s="6" t="str">
        <f>'Detailed Car List + Stats'!B499</f>
        <v>1968</v>
      </c>
      <c r="B499" s="6" t="str">
        <f>'Detailed Car List + Stats'!C499</f>
        <v>Plymouth</v>
      </c>
      <c r="C499" s="6" t="str">
        <f>'Detailed Car List + Stats'!D499</f>
        <v>Barracuda Formula S</v>
      </c>
      <c r="D499" s="6" t="str">
        <f>'Detailed Car List + Stats'!E499</f>
        <v>Classic Muscle</v>
      </c>
      <c r="E499" s="8" t="s">
        <v>1045</v>
      </c>
      <c r="F499" s="6" t="str">
        <f>'Detailed Car List + Stats'!G499</f>
        <v>USA</v>
      </c>
      <c r="G499" s="19">
        <f>'Detailed Car List + Stats'!H499</f>
        <v>45000</v>
      </c>
      <c r="H499" s="10" t="s">
        <v>27</v>
      </c>
      <c r="I499" s="6" t="str">
        <f>'Detailed Car List + Stats'!T499</f>
        <v>Autoshow, Wheelspin</v>
      </c>
      <c r="J499" s="2" t="str">
        <f>'Detailed Car List + Stats'!U499</f>
        <v/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6.5" customHeight="1">
      <c r="A500" s="6" t="str">
        <f>'Detailed Car List + Stats'!B500</f>
        <v>1971</v>
      </c>
      <c r="B500" s="6" t="str">
        <f>'Detailed Car List + Stats'!C500</f>
        <v>Plymouth</v>
      </c>
      <c r="C500" s="6" t="str">
        <f>'Detailed Car List + Stats'!D500</f>
        <v>Cuda 426 HEMI</v>
      </c>
      <c r="D500" s="6" t="str">
        <f>'Detailed Car List + Stats'!E500</f>
        <v>Classic Muscle</v>
      </c>
      <c r="E500" s="8" t="s">
        <v>515</v>
      </c>
      <c r="F500" s="6" t="str">
        <f>'Detailed Car List + Stats'!G500</f>
        <v>USA</v>
      </c>
      <c r="G500" s="19">
        <f>'Detailed Car List + Stats'!H500</f>
        <v>125000</v>
      </c>
      <c r="H500" s="34" t="s">
        <v>62</v>
      </c>
      <c r="I500" s="6" t="str">
        <f>'Detailed Car List + Stats'!T500</f>
        <v>Autoshow, Wheelspin</v>
      </c>
      <c r="J500" s="2" t="str">
        <f>'Detailed Car List + Stats'!U500</f>
        <v/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6.5" customHeight="1">
      <c r="A501" s="6" t="str">
        <f>'Detailed Car List + Stats'!B501</f>
        <v>1958</v>
      </c>
      <c r="B501" s="6" t="str">
        <f>'Detailed Car List + Stats'!C501</f>
        <v>Plymouth</v>
      </c>
      <c r="C501" s="6" t="str">
        <f>'Detailed Car List + Stats'!D501</f>
        <v>Fury</v>
      </c>
      <c r="D501" s="6" t="str">
        <f>'Detailed Car List + Stats'!E501</f>
        <v>Rods &amp; Customs</v>
      </c>
      <c r="E501" s="17" t="s">
        <v>1049</v>
      </c>
      <c r="F501" s="6" t="str">
        <f>'Detailed Car List + Stats'!G501</f>
        <v>USA</v>
      </c>
      <c r="G501" s="19">
        <f>'Detailed Car List + Stats'!H501</f>
        <v>53000</v>
      </c>
      <c r="H501" s="10" t="s">
        <v>27</v>
      </c>
      <c r="I501" s="6" t="str">
        <f>'Detailed Car List + Stats'!T501</f>
        <v>Autoshow, Wheelspin</v>
      </c>
      <c r="J501" s="2" t="str">
        <f>'Detailed Car List + Stats'!U501</f>
        <v/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6.5" customHeight="1">
      <c r="A502" s="6" t="str">
        <f>'Detailed Car List + Stats'!B502</f>
        <v>2021</v>
      </c>
      <c r="B502" s="6" t="str">
        <f>'Detailed Car List + Stats'!C502</f>
        <v>Polaris</v>
      </c>
      <c r="C502" s="6" t="str">
        <f>'Detailed Car List + Stats'!D502</f>
        <v>RZR Pro XP Factory Racing Limited Edition</v>
      </c>
      <c r="D502" s="6" t="str">
        <f>'Detailed Car List + Stats'!E502</f>
        <v>UTVs</v>
      </c>
      <c r="E502" s="8" t="s">
        <v>70</v>
      </c>
      <c r="F502" s="6" t="str">
        <f>'Detailed Car List + Stats'!G502</f>
        <v>USA</v>
      </c>
      <c r="G502" s="19">
        <f>'Detailed Car List + Stats'!H502</f>
        <v>50000</v>
      </c>
      <c r="H502" s="10" t="s">
        <v>27</v>
      </c>
      <c r="I502" s="6" t="str">
        <f>'Detailed Car List + Stats'!T502</f>
        <v>Autoshow, Wheelspin</v>
      </c>
      <c r="J502" s="2" t="str">
        <f>'Detailed Car List + Stats'!U502</f>
        <v/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6.5" customHeight="1">
      <c r="A503" s="6" t="str">
        <f>'Detailed Car List + Stats'!B503</f>
        <v>2021</v>
      </c>
      <c r="B503" s="6" t="str">
        <f>'Detailed Car List + Stats'!C503</f>
        <v>Polaris</v>
      </c>
      <c r="C503" s="6" t="str">
        <f>'Detailed Car List + Stats'!D503</f>
        <v>RZR Pro XP Ultimate</v>
      </c>
      <c r="D503" s="6" t="str">
        <f>'Detailed Car List + Stats'!E503</f>
        <v>UTVs</v>
      </c>
      <c r="E503" s="8" t="s">
        <v>1053</v>
      </c>
      <c r="F503" s="6" t="str">
        <f>'Detailed Car List + Stats'!G503</f>
        <v>USA</v>
      </c>
      <c r="G503" s="19">
        <f>'Detailed Car List + Stats'!H503</f>
        <v>34000</v>
      </c>
      <c r="H503" s="10" t="s">
        <v>27</v>
      </c>
      <c r="I503" s="6" t="str">
        <f>'Detailed Car List + Stats'!T503</f>
        <v>Autoshow, Collection Journal</v>
      </c>
      <c r="J503" s="2" t="str">
        <f>'Detailed Car List + Stats'!U503</f>
        <v/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6.5" customHeight="1">
      <c r="A504" s="6" t="str">
        <f>'Detailed Car List + Stats'!B504</f>
        <v>1977</v>
      </c>
      <c r="B504" s="6" t="str">
        <f>'Detailed Car List + Stats'!C504</f>
        <v>Pontiac</v>
      </c>
      <c r="C504" s="6" t="str">
        <f>'Detailed Car List + Stats'!D504</f>
        <v>Firebird Trans Am</v>
      </c>
      <c r="D504" s="6" t="str">
        <f>'Detailed Car List + Stats'!E504</f>
        <v>Classic Muscle</v>
      </c>
      <c r="E504" s="17" t="s">
        <v>1056</v>
      </c>
      <c r="F504" s="6" t="str">
        <f>'Detailed Car List + Stats'!G504</f>
        <v>USA</v>
      </c>
      <c r="G504" s="19">
        <f>'Detailed Car List + Stats'!H504</f>
        <v>60000</v>
      </c>
      <c r="H504" s="10" t="s">
        <v>27</v>
      </c>
      <c r="I504" s="6" t="str">
        <f>'Detailed Car List + Stats'!T504</f>
        <v>Autoshow, Wheelspin</v>
      </c>
      <c r="J504" s="2" t="str">
        <f>'Detailed Car List + Stats'!U504</f>
        <v/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6.5" customHeight="1">
      <c r="A505" s="6" t="str">
        <f>'Detailed Car List + Stats'!B505</f>
        <v>1987</v>
      </c>
      <c r="B505" s="6" t="str">
        <f>'Detailed Car List + Stats'!C505</f>
        <v>Pontiac</v>
      </c>
      <c r="C505" s="6" t="str">
        <f>'Detailed Car List + Stats'!D505</f>
        <v>Firebird Trans Am GTA</v>
      </c>
      <c r="D505" s="6" t="str">
        <f>'Detailed Car List + Stats'!E505</f>
        <v>Retro Muscle</v>
      </c>
      <c r="E505" s="17" t="s">
        <v>1058</v>
      </c>
      <c r="F505" s="6" t="str">
        <f>'Detailed Car List + Stats'!G505</f>
        <v>USA</v>
      </c>
      <c r="G505" s="19">
        <f>'Detailed Car List + Stats'!H505</f>
        <v>25000</v>
      </c>
      <c r="H505" s="20" t="s">
        <v>33</v>
      </c>
      <c r="I505" s="6" t="str">
        <f>'Detailed Car List + Stats'!T505</f>
        <v>Autoshow, Wheelspin</v>
      </c>
      <c r="J505" s="2" t="str">
        <f>'Detailed Car List + Stats'!U505</f>
        <v/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6.5" customHeight="1">
      <c r="A506" s="6" t="str">
        <f>'Detailed Car List + Stats'!B506</f>
        <v>1985</v>
      </c>
      <c r="B506" s="6" t="str">
        <f>'Detailed Car List + Stats'!C506</f>
        <v>Porsche</v>
      </c>
      <c r="C506" s="6" t="str">
        <f>'Detailed Car List + Stats'!D506</f>
        <v>#185 959 Prodrive Rally Raid</v>
      </c>
      <c r="D506" s="6" t="str">
        <f>'Detailed Car List + Stats'!E506</f>
        <v>Rally Monsters</v>
      </c>
      <c r="E506" s="36" t="s">
        <v>802</v>
      </c>
      <c r="F506" s="6" t="str">
        <f>'Detailed Car List + Stats'!G506</f>
        <v>Germany</v>
      </c>
      <c r="G506" s="52">
        <f>'Detailed Car List + Stats'!H506</f>
        <v>1875000</v>
      </c>
      <c r="H506" s="35" t="s">
        <v>255</v>
      </c>
      <c r="I506" s="6" t="str">
        <f>'Detailed Car List + Stats'!T506</f>
        <v>Autoshow, Wheelspin</v>
      </c>
      <c r="J506" s="2" t="str">
        <f>'Detailed Car List + Stats'!U506</f>
        <v/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6.5" customHeight="1">
      <c r="A507" s="37" t="str">
        <f>'Detailed Car List + Stats'!B507</f>
        <v>1987</v>
      </c>
      <c r="B507" s="37" t="str">
        <f>'Detailed Car List + Stats'!C507</f>
        <v>Porsche</v>
      </c>
      <c r="C507" s="37" t="str">
        <f>'Detailed Car List + Stats'!D507</f>
        <v>#203 Porsche AG 961</v>
      </c>
      <c r="D507" s="37" t="str">
        <f>'Detailed Car List + Stats'!E507</f>
        <v>Retro Racers</v>
      </c>
      <c r="E507" s="50" t="s">
        <v>464</v>
      </c>
      <c r="F507" s="37" t="str">
        <f>'Detailed Car List + Stats'!G507</f>
        <v>Germany</v>
      </c>
      <c r="G507" s="38">
        <f>'Detailed Car List + Stats'!H507</f>
        <v>1500000</v>
      </c>
      <c r="H507" s="35" t="s">
        <v>76</v>
      </c>
      <c r="I507" s="37" t="str">
        <f>'Detailed Car List + Stats'!T507</f>
        <v>Autoshow DLC</v>
      </c>
      <c r="J507" s="37" t="str">
        <f>'Detailed Car List + Stats'!U507</f>
        <v>Car Pass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6.5" customHeight="1">
      <c r="A508" s="6" t="str">
        <f>'Detailed Car List + Stats'!B508</f>
        <v>1970</v>
      </c>
      <c r="B508" s="6" t="str">
        <f>'Detailed Car List + Stats'!C508</f>
        <v>Porsche</v>
      </c>
      <c r="C508" s="6" t="str">
        <f>'Detailed Car List + Stats'!D508</f>
        <v>#3 917 LH</v>
      </c>
      <c r="D508" s="6" t="str">
        <f>'Detailed Car List + Stats'!E508</f>
        <v>Classic Racers</v>
      </c>
      <c r="E508" s="32" t="s">
        <v>1063</v>
      </c>
      <c r="F508" s="6" t="str">
        <f>'Detailed Car List + Stats'!G508</f>
        <v>Germany</v>
      </c>
      <c r="G508" s="19">
        <f>'Detailed Car List + Stats'!H508</f>
        <v>494000</v>
      </c>
      <c r="H508" s="35" t="s">
        <v>76</v>
      </c>
      <c r="I508" s="6" t="str">
        <f>'Detailed Car List + Stats'!T508</f>
        <v>Autoshow, Collection Journal</v>
      </c>
      <c r="J508" s="2" t="str">
        <f>'Detailed Car List + Stats'!U508</f>
        <v/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6.5" customHeight="1">
      <c r="A509" s="5" t="str">
        <f>'Detailed Car List + Stats'!B509</f>
        <v>1970</v>
      </c>
      <c r="B509" s="5" t="str">
        <f>'Detailed Car List + Stats'!C509</f>
        <v>Porsche</v>
      </c>
      <c r="C509" s="5" t="str">
        <f>'Detailed Car List + Stats'!D509</f>
        <v>#3 917 LH Forza Edition</v>
      </c>
      <c r="D509" s="5" t="str">
        <f>'Detailed Car List + Stats'!E509</f>
        <v>Extreme Track Toys</v>
      </c>
      <c r="E509" s="49" t="s">
        <v>494</v>
      </c>
      <c r="F509" s="5" t="str">
        <f>'Detailed Car List + Stats'!G509</f>
        <v>Germany</v>
      </c>
      <c r="G509" s="9">
        <f>'Detailed Car List + Stats'!H509</f>
        <v>1000000</v>
      </c>
      <c r="H509" s="35" t="s">
        <v>76</v>
      </c>
      <c r="I509" s="5" t="str">
        <f>'Detailed Car List + Stats'!T509</f>
        <v>Wheelspin, Seasonal</v>
      </c>
      <c r="J509" s="21" t="str">
        <f>'Detailed Car List + Stats'!U509</f>
        <v/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6.5" customHeight="1">
      <c r="A510" s="6" t="str">
        <f>'Detailed Car List + Stats'!B510</f>
        <v>2019</v>
      </c>
      <c r="B510" s="6" t="str">
        <f>'Detailed Car List + Stats'!C510</f>
        <v>Porsche</v>
      </c>
      <c r="C510" s="6" t="str">
        <f>'Detailed Car List + Stats'!D510</f>
        <v>#70 Motorsport 935</v>
      </c>
      <c r="D510" s="6" t="str">
        <f>'Detailed Car List + Stats'!E510</f>
        <v>Extreme Track Toys</v>
      </c>
      <c r="E510" s="50" t="s">
        <v>1066</v>
      </c>
      <c r="F510" s="6" t="str">
        <f>'Detailed Car List + Stats'!G510</f>
        <v>Germany</v>
      </c>
      <c r="G510" s="19" t="str">
        <f>'Detailed Car List + Stats'!H510</f>
        <v/>
      </c>
      <c r="H510" s="48"/>
      <c r="I510" s="6" t="str">
        <f>'Detailed Car List + Stats'!T510</f>
        <v>Autoshow, Wheelspin</v>
      </c>
      <c r="J510" s="2" t="str">
        <f>'Detailed Car List + Stats'!U510</f>
        <v/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6.5" customHeight="1">
      <c r="A511" s="6" t="str">
        <f>'Detailed Car List + Stats'!B511</f>
        <v>2022</v>
      </c>
      <c r="B511" s="6" t="str">
        <f>'Detailed Car List + Stats'!C511</f>
        <v>Porsche</v>
      </c>
      <c r="C511" s="6" t="str">
        <f>'Detailed Car List + Stats'!D511</f>
        <v>718 Cayman GT4 RS</v>
      </c>
      <c r="D511" s="6" t="str">
        <f>'Detailed Car List + Stats'!E511</f>
        <v>Track Toys</v>
      </c>
      <c r="E511" s="32" t="s">
        <v>351</v>
      </c>
      <c r="F511" s="6" t="str">
        <f>'Detailed Car List + Stats'!G511</f>
        <v>Germany</v>
      </c>
      <c r="G511" s="19">
        <f>'Detailed Car List + Stats'!H511</f>
        <v>1600000</v>
      </c>
      <c r="H511" s="35" t="s">
        <v>76</v>
      </c>
      <c r="I511" s="6" t="str">
        <f>'Detailed Car List + Stats'!T511</f>
        <v>Autoshow, Collection Journal</v>
      </c>
      <c r="J511" s="2" t="str">
        <f>'Detailed Car List + Stats'!U511</f>
        <v/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6.5" customHeight="1">
      <c r="A512" s="6" t="str">
        <f>'Detailed Car List + Stats'!B512</f>
        <v>2018</v>
      </c>
      <c r="B512" s="6" t="str">
        <f>'Detailed Car List + Stats'!C512</f>
        <v>Porsche</v>
      </c>
      <c r="C512" s="6" t="str">
        <f>'Detailed Car List + Stats'!D512</f>
        <v>718 Cayman GTS</v>
      </c>
      <c r="D512" s="6" t="str">
        <f>'Detailed Car List + Stats'!E512</f>
        <v>Modern Sports Cars</v>
      </c>
      <c r="E512" s="36" t="s">
        <v>1069</v>
      </c>
      <c r="F512" s="6" t="str">
        <f>'Detailed Car List + Stats'!G512</f>
        <v>Germany</v>
      </c>
      <c r="G512" s="19">
        <f>'Detailed Car List + Stats'!H512</f>
        <v>190000</v>
      </c>
      <c r="H512" s="34" t="s">
        <v>62</v>
      </c>
      <c r="I512" s="6" t="str">
        <f>'Detailed Car List + Stats'!T512</f>
        <v>Autoshow, Wheelspin</v>
      </c>
      <c r="J512" s="2" t="str">
        <f>'Detailed Car List + Stats'!U512</f>
        <v/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6.5" customHeight="1">
      <c r="A513" s="6" t="str">
        <f>'Detailed Car List + Stats'!B513</f>
        <v>1973</v>
      </c>
      <c r="B513" s="6" t="str">
        <f>'Detailed Car List + Stats'!C513</f>
        <v>Porsche</v>
      </c>
      <c r="C513" s="6" t="str">
        <f>'Detailed Car List + Stats'!D513</f>
        <v>911 Carrera RS</v>
      </c>
      <c r="D513" s="6" t="str">
        <f>'Detailed Car List + Stats'!E513</f>
        <v>Rare Classics</v>
      </c>
      <c r="E513" s="8" t="s">
        <v>1071</v>
      </c>
      <c r="F513" s="6" t="str">
        <f>'Detailed Car List + Stats'!G513</f>
        <v>Germany</v>
      </c>
      <c r="G513" s="19">
        <f>'Detailed Car List + Stats'!H513</f>
        <v>75000</v>
      </c>
      <c r="H513" s="34" t="s">
        <v>62</v>
      </c>
      <c r="I513" s="6" t="str">
        <f>'Detailed Car List + Stats'!T513</f>
        <v>Autoshow, Wheelspin</v>
      </c>
      <c r="J513" s="2" t="str">
        <f>'Detailed Car List + Stats'!U513</f>
        <v/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6.5" customHeight="1">
      <c r="A514" s="6" t="str">
        <f>'Detailed Car List + Stats'!B514</f>
        <v>2019</v>
      </c>
      <c r="B514" s="6" t="str">
        <f>'Detailed Car List + Stats'!C514</f>
        <v>Porsche</v>
      </c>
      <c r="C514" s="6" t="str">
        <f>'Detailed Car List + Stats'!D514</f>
        <v>911 Carrera S</v>
      </c>
      <c r="D514" s="6" t="str">
        <f>'Detailed Car List + Stats'!E514</f>
        <v>Modern Sports Cars</v>
      </c>
      <c r="E514" s="32" t="s">
        <v>504</v>
      </c>
      <c r="F514" s="6" t="str">
        <f>'Detailed Car List + Stats'!G514</f>
        <v>Germany</v>
      </c>
      <c r="G514" s="19">
        <f>'Detailed Car List + Stats'!H514</f>
        <v>1050000</v>
      </c>
      <c r="H514" s="35" t="s">
        <v>76</v>
      </c>
      <c r="I514" s="6" t="str">
        <f>'Detailed Car List + Stats'!T514</f>
        <v>Autoshow, Wheelspin</v>
      </c>
      <c r="J514" s="2" t="str">
        <f>'Detailed Car List + Stats'!U514</f>
        <v/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6.5" customHeight="1">
      <c r="A515" s="6" t="str">
        <f>'Detailed Car List + Stats'!B515</f>
        <v>1997</v>
      </c>
      <c r="B515" s="6" t="str">
        <f>'Detailed Car List + Stats'!C515</f>
        <v>Porsche</v>
      </c>
      <c r="C515" s="6" t="str">
        <f>'Detailed Car List + Stats'!D515</f>
        <v>911 GT1 Strassenversion</v>
      </c>
      <c r="D515" s="6" t="str">
        <f>'Detailed Car List + Stats'!E515</f>
        <v>Retro Supercars</v>
      </c>
      <c r="E515" s="32" t="s">
        <v>1074</v>
      </c>
      <c r="F515" s="6" t="str">
        <f>'Detailed Car List + Stats'!G515</f>
        <v>Germany</v>
      </c>
      <c r="G515" s="19">
        <f>'Detailed Car List + Stats'!H515</f>
        <v>145000</v>
      </c>
      <c r="H515" s="10" t="s">
        <v>27</v>
      </c>
      <c r="I515" s="6" t="str">
        <f>'Detailed Car List + Stats'!T515</f>
        <v>Autoshow, Wheelspin</v>
      </c>
      <c r="J515" s="2" t="str">
        <f>'Detailed Car List + Stats'!U515</f>
        <v/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6.5" customHeight="1">
      <c r="A516" s="5" t="str">
        <f>'Detailed Car List + Stats'!B516</f>
        <v>1995</v>
      </c>
      <c r="B516" s="5" t="str">
        <f>'Detailed Car List + Stats'!C516</f>
        <v>Porsche</v>
      </c>
      <c r="C516" s="5" t="str">
        <f>'Detailed Car List + Stats'!D516</f>
        <v>911 GT2</v>
      </c>
      <c r="D516" s="5" t="str">
        <f>'Detailed Car List + Stats'!E516</f>
        <v>Retro Supercars</v>
      </c>
      <c r="E516" s="36" t="s">
        <v>81</v>
      </c>
      <c r="F516" s="5" t="str">
        <f>'Detailed Car List + Stats'!G516</f>
        <v>Germany</v>
      </c>
      <c r="G516" s="9">
        <f>'Detailed Car List + Stats'!H516</f>
        <v>4000000</v>
      </c>
      <c r="H516" s="35" t="s">
        <v>76</v>
      </c>
      <c r="I516" s="5" t="str">
        <f>'Detailed Car List + Stats'!T516</f>
        <v>Wheelspin, Seasonal</v>
      </c>
      <c r="J516" s="21" t="str">
        <f>'Detailed Car List + Stats'!U516</f>
        <v/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6.5" customHeight="1">
      <c r="A517" s="6" t="str">
        <f>'Detailed Car List + Stats'!B517</f>
        <v>2018</v>
      </c>
      <c r="B517" s="6" t="str">
        <f>'Detailed Car List + Stats'!C517</f>
        <v>Porsche</v>
      </c>
      <c r="C517" s="6" t="str">
        <f>'Detailed Car List + Stats'!D517</f>
        <v>911 GT2 RS</v>
      </c>
      <c r="D517" s="6" t="str">
        <f>'Detailed Car List + Stats'!E517</f>
        <v>Track Toys</v>
      </c>
      <c r="E517" s="50" t="s">
        <v>458</v>
      </c>
      <c r="F517" s="6" t="str">
        <f>'Detailed Car List + Stats'!G517</f>
        <v>Germany</v>
      </c>
      <c r="G517" s="19" t="str">
        <f>'Detailed Car List + Stats'!H517</f>
        <v/>
      </c>
      <c r="H517" s="48"/>
      <c r="I517" s="6" t="str">
        <f>'Detailed Car List + Stats'!T517</f>
        <v>Autoshow, Wheelspin</v>
      </c>
      <c r="J517" s="2" t="str">
        <f>'Detailed Car List + Stats'!U517</f>
        <v/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6.5" customHeight="1">
      <c r="A518" s="6" t="str">
        <f>'Detailed Car List + Stats'!B518</f>
        <v>2004</v>
      </c>
      <c r="B518" s="6" t="str">
        <f>'Detailed Car List + Stats'!C518</f>
        <v>Porsche</v>
      </c>
      <c r="C518" s="6" t="str">
        <f>'Detailed Car List + Stats'!D518</f>
        <v>911 GT3</v>
      </c>
      <c r="D518" s="6" t="str">
        <f>'Detailed Car List + Stats'!E518</f>
        <v>Retro Supercars</v>
      </c>
      <c r="E518" s="36" t="s">
        <v>879</v>
      </c>
      <c r="F518" s="6" t="str">
        <f>'Detailed Car List + Stats'!G518</f>
        <v>Germany</v>
      </c>
      <c r="G518" s="19">
        <f>'Detailed Car List + Stats'!H518</f>
        <v>550000</v>
      </c>
      <c r="H518" s="34" t="s">
        <v>62</v>
      </c>
      <c r="I518" s="6" t="str">
        <f>'Detailed Car List + Stats'!T518</f>
        <v>Autoshow, Wheelspin</v>
      </c>
      <c r="J518" s="2" t="str">
        <f>'Detailed Car List + Stats'!U518</f>
        <v/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6.5" customHeight="1">
      <c r="A519" s="6" t="str">
        <f>'Detailed Car List + Stats'!B519</f>
        <v>2021</v>
      </c>
      <c r="B519" s="6" t="str">
        <f>'Detailed Car List + Stats'!C519</f>
        <v>Porsche</v>
      </c>
      <c r="C519" s="6" t="str">
        <f>'Detailed Car List + Stats'!D519</f>
        <v>911 GT3</v>
      </c>
      <c r="D519" s="6" t="str">
        <f>'Detailed Car List + Stats'!E519</f>
        <v>Track Toys</v>
      </c>
      <c r="E519" s="32" t="s">
        <v>613</v>
      </c>
      <c r="F519" s="6" t="str">
        <f>'Detailed Car List + Stats'!G519</f>
        <v>Germany</v>
      </c>
      <c r="G519" s="19">
        <f>'Detailed Car List + Stats'!H519</f>
        <v>135000</v>
      </c>
      <c r="H519" s="10" t="s">
        <v>27</v>
      </c>
      <c r="I519" s="6" t="str">
        <f>'Detailed Car List + Stats'!T519</f>
        <v>Autoshow, Wheelspin</v>
      </c>
      <c r="J519" s="2" t="str">
        <f>'Detailed Car List + Stats'!U519</f>
        <v/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6.5" customHeight="1">
      <c r="A520" s="5" t="str">
        <f>'Detailed Car List + Stats'!B520</f>
        <v>2019</v>
      </c>
      <c r="B520" s="5" t="str">
        <f>'Detailed Car List + Stats'!C520</f>
        <v>Porsche</v>
      </c>
      <c r="C520" s="5" t="str">
        <f>'Detailed Car List + Stats'!D520</f>
        <v>911 GT3 RS</v>
      </c>
      <c r="D520" s="5" t="str">
        <f>'Detailed Car List + Stats'!E520</f>
        <v>Track Toys</v>
      </c>
      <c r="E520" s="32" t="s">
        <v>606</v>
      </c>
      <c r="F520" s="5" t="str">
        <f>'Detailed Car List + Stats'!G520</f>
        <v>Germany</v>
      </c>
      <c r="G520" s="9">
        <f>'Detailed Car List + Stats'!H520</f>
        <v>260000</v>
      </c>
      <c r="H520" s="34" t="s">
        <v>62</v>
      </c>
      <c r="I520" s="5" t="str">
        <f>'Detailed Car List + Stats'!T520</f>
        <v>Wheelspin, Seasonal</v>
      </c>
      <c r="J520" s="21" t="str">
        <f>'Detailed Car List + Stats'!U520</f>
        <v/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6.5" customHeight="1">
      <c r="A521" s="6" t="str">
        <f>'Detailed Car List + Stats'!B521</f>
        <v>2023</v>
      </c>
      <c r="B521" s="6" t="str">
        <f>'Detailed Car List + Stats'!C521</f>
        <v>Porsche</v>
      </c>
      <c r="C521" s="6" t="str">
        <f>'Detailed Car List + Stats'!D521</f>
        <v>911 GT3 RS</v>
      </c>
      <c r="D521" s="6" t="str">
        <f>'Detailed Car List + Stats'!E521</f>
        <v>Track Toys</v>
      </c>
      <c r="E521" s="32" t="s">
        <v>1079</v>
      </c>
      <c r="F521" s="6" t="str">
        <f>'Detailed Car List + Stats'!G521</f>
        <v>Germany</v>
      </c>
      <c r="G521" s="19" t="str">
        <f>'Detailed Car List + Stats'!H521</f>
        <v/>
      </c>
      <c r="H521" s="48"/>
      <c r="I521" s="6" t="str">
        <f>'Detailed Car List + Stats'!T521</f>
        <v>Autoshow, Wheelspin</v>
      </c>
      <c r="J521" s="2" t="str">
        <f>'Detailed Car List + Stats'!U521</f>
        <v/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6.5" customHeight="1">
      <c r="A522" s="6" t="str">
        <f>'Detailed Car List + Stats'!B522</f>
        <v>2012</v>
      </c>
      <c r="B522" s="6" t="str">
        <f>'Detailed Car List + Stats'!C522</f>
        <v>Porsche</v>
      </c>
      <c r="C522" s="6" t="str">
        <f>'Detailed Car List + Stats'!D522</f>
        <v>911 GT3 RS 4.0</v>
      </c>
      <c r="D522" s="6" t="str">
        <f>'Detailed Car List + Stats'!E522</f>
        <v>Track Toys</v>
      </c>
      <c r="E522" s="32" t="s">
        <v>172</v>
      </c>
      <c r="F522" s="6" t="str">
        <f>'Detailed Car List + Stats'!G522</f>
        <v>Germany</v>
      </c>
      <c r="G522" s="19">
        <f>'Detailed Car List + Stats'!H522</f>
        <v>424000</v>
      </c>
      <c r="H522" s="34" t="s">
        <v>62</v>
      </c>
      <c r="I522" s="6" t="str">
        <f>'Detailed Car List + Stats'!T522</f>
        <v>Autoshow, Collection Journal</v>
      </c>
      <c r="J522" s="2" t="str">
        <f>'Detailed Car List + Stats'!U522</f>
        <v/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6.5" customHeight="1">
      <c r="A523" s="5" t="str">
        <f>'Detailed Car List + Stats'!B523</f>
        <v>2023</v>
      </c>
      <c r="B523" s="5" t="str">
        <f>'Detailed Car List + Stats'!C523</f>
        <v>Porsche</v>
      </c>
      <c r="C523" s="5" t="str">
        <f>'Detailed Car List + Stats'!D523</f>
        <v>911 Rallye</v>
      </c>
      <c r="D523" s="5" t="str">
        <f>'Detailed Car List + Stats'!E523</f>
        <v>Rally Monsters</v>
      </c>
      <c r="E523" s="36" t="s">
        <v>262</v>
      </c>
      <c r="F523" s="5" t="str">
        <f>'Detailed Car List + Stats'!G523</f>
        <v>Germany</v>
      </c>
      <c r="G523" s="9">
        <f>'Detailed Car List + Stats'!H523</f>
        <v>930000</v>
      </c>
      <c r="H523" s="34" t="s">
        <v>62</v>
      </c>
      <c r="I523" s="5" t="str">
        <f>'Detailed Car List + Stats'!T523</f>
        <v>Seasonal</v>
      </c>
      <c r="J523" s="21" t="str">
        <f>'Detailed Car List + Stats'!U523</f>
        <v/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6.5" customHeight="1">
      <c r="A524" s="5" t="str">
        <f>'Detailed Car List + Stats'!B524</f>
        <v>1982</v>
      </c>
      <c r="B524" s="5" t="str">
        <f>'Detailed Car List + Stats'!C524</f>
        <v>Porsche</v>
      </c>
      <c r="C524" s="5" t="str">
        <f>'Detailed Car List + Stats'!D524</f>
        <v>911 Turbo 3.3</v>
      </c>
      <c r="D524" s="5" t="str">
        <f>'Detailed Car List + Stats'!E524</f>
        <v>Retro Supercars</v>
      </c>
      <c r="E524" s="25" t="s">
        <v>1083</v>
      </c>
      <c r="F524" s="5" t="str">
        <f>'Detailed Car List + Stats'!G524</f>
        <v>Germany</v>
      </c>
      <c r="G524" s="9" t="str">
        <f>'Detailed Car List + Stats'!H524</f>
        <v/>
      </c>
      <c r="H524" s="48"/>
      <c r="I524" s="5" t="str">
        <f>'Detailed Car List + Stats'!T524</f>
        <v>Collection Journal</v>
      </c>
      <c r="J524" s="21" t="str">
        <f>'Detailed Car List + Stats'!U524</f>
        <v/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6.5" customHeight="1">
      <c r="A525" s="6" t="str">
        <f>'Detailed Car List + Stats'!B525</f>
        <v>2023</v>
      </c>
      <c r="B525" s="6" t="str">
        <f>'Detailed Car List + Stats'!C525</f>
        <v>Porsche</v>
      </c>
      <c r="C525" s="6" t="str">
        <f>'Detailed Car List + Stats'!D525</f>
        <v>911 Turbo S</v>
      </c>
      <c r="D525" s="6" t="str">
        <f>'Detailed Car List + Stats'!E525</f>
        <v>Modern Supercars</v>
      </c>
      <c r="E525" s="32" t="s">
        <v>460</v>
      </c>
      <c r="F525" s="6" t="str">
        <f>'Detailed Car List + Stats'!G525</f>
        <v>Germany</v>
      </c>
      <c r="G525" s="52">
        <f>'Detailed Car List + Stats'!H525</f>
        <v>240000</v>
      </c>
      <c r="H525" s="35" t="s">
        <v>678</v>
      </c>
      <c r="I525" s="6" t="str">
        <f>'Detailed Car List + Stats'!T525</f>
        <v>Autoshow, Wheelspin</v>
      </c>
      <c r="J525" s="2" t="str">
        <f>'Detailed Car List + Stats'!U525</f>
        <v/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6.5" customHeight="1">
      <c r="A526" s="5" t="str">
        <f>'Detailed Car List + Stats'!B526</f>
        <v>1993</v>
      </c>
      <c r="B526" s="5" t="str">
        <f>'Detailed Car List + Stats'!C526</f>
        <v>Porsche</v>
      </c>
      <c r="C526" s="5" t="str">
        <f>'Detailed Car List + Stats'!D526</f>
        <v>911 Turbo S Leichtbau</v>
      </c>
      <c r="D526" s="5" t="str">
        <f>'Detailed Car List + Stats'!E526</f>
        <v>Retro Sports Cars</v>
      </c>
      <c r="E526" s="36" t="s">
        <v>286</v>
      </c>
      <c r="F526" s="5" t="str">
        <f>'Detailed Car List + Stats'!G526</f>
        <v>Germany</v>
      </c>
      <c r="G526" s="9">
        <f>'Detailed Car List + Stats'!H526</f>
        <v>275000</v>
      </c>
      <c r="H526" s="10" t="s">
        <v>27</v>
      </c>
      <c r="I526" s="5" t="str">
        <f>'Detailed Car List + Stats'!T526</f>
        <v>Seasonal</v>
      </c>
      <c r="J526" s="21" t="str">
        <f>'Detailed Car List + Stats'!U526</f>
        <v/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6.5" customHeight="1">
      <c r="A527" s="6" t="str">
        <f>'Detailed Car List + Stats'!B527</f>
        <v>2014</v>
      </c>
      <c r="B527" s="6" t="str">
        <f>'Detailed Car List + Stats'!C527</f>
        <v>Porsche</v>
      </c>
      <c r="C527" s="6" t="str">
        <f>'Detailed Car List + Stats'!D527</f>
        <v>918 Spider</v>
      </c>
      <c r="D527" s="6" t="str">
        <f>'Detailed Car List + Stats'!E527</f>
        <v>Hypercars</v>
      </c>
      <c r="E527" s="50" t="s">
        <v>961</v>
      </c>
      <c r="F527" s="6" t="str">
        <f>'Detailed Car List + Stats'!G527</f>
        <v>Germany</v>
      </c>
      <c r="G527" s="52">
        <f>'Detailed Car List + Stats'!H527</f>
        <v>600000</v>
      </c>
      <c r="H527" s="35" t="s">
        <v>76</v>
      </c>
      <c r="I527" s="6" t="str">
        <f>'Detailed Car List + Stats'!T527</f>
        <v>Autoshow, Collection Journal</v>
      </c>
      <c r="J527" s="2" t="str">
        <f>'Detailed Car List + Stats'!U527</f>
        <v/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6.5" customHeight="1">
      <c r="A528" s="6" t="str">
        <f>'Detailed Car List + Stats'!B528</f>
        <v>1993</v>
      </c>
      <c r="B528" s="6" t="str">
        <f>'Detailed Car List + Stats'!C528</f>
        <v>Porsche</v>
      </c>
      <c r="C528" s="6" t="str">
        <f>'Detailed Car List + Stats'!D528</f>
        <v>928 GTS</v>
      </c>
      <c r="D528" s="6" t="str">
        <f>'Detailed Car List + Stats'!E528</f>
        <v>Retro Sports Cars</v>
      </c>
      <c r="E528" s="25" t="s">
        <v>548</v>
      </c>
      <c r="F528" s="6" t="str">
        <f>'Detailed Car List + Stats'!G528</f>
        <v>Germany</v>
      </c>
      <c r="G528" s="19">
        <f>'Detailed Car List + Stats'!H528</f>
        <v>2300000</v>
      </c>
      <c r="H528" s="35" t="s">
        <v>76</v>
      </c>
      <c r="I528" s="6" t="str">
        <f>'Detailed Car List + Stats'!T528</f>
        <v>Autoshow, Wheelspin</v>
      </c>
      <c r="J528" s="2" t="str">
        <f>'Detailed Car List + Stats'!U528</f>
        <v/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6.5" customHeight="1">
      <c r="A529" s="6" t="str">
        <f>'Detailed Car List + Stats'!B529</f>
        <v>1989</v>
      </c>
      <c r="B529" s="6" t="str">
        <f>'Detailed Car List + Stats'!C529</f>
        <v>Porsche</v>
      </c>
      <c r="C529" s="6" t="str">
        <f>'Detailed Car List + Stats'!D529</f>
        <v>944 Turbo</v>
      </c>
      <c r="D529" s="6" t="str">
        <f>'Detailed Car List + Stats'!E529</f>
        <v>Retro Sports Cars</v>
      </c>
      <c r="E529" s="25" t="s">
        <v>1089</v>
      </c>
      <c r="F529" s="6" t="str">
        <f>'Detailed Car List + Stats'!G529</f>
        <v>Germany</v>
      </c>
      <c r="G529" s="19">
        <f>'Detailed Car List + Stats'!H529</f>
        <v>150000</v>
      </c>
      <c r="H529" s="10" t="s">
        <v>27</v>
      </c>
      <c r="I529" s="6" t="str">
        <f>'Detailed Car List + Stats'!T529</f>
        <v>Autoshow, Wheelspin</v>
      </c>
      <c r="J529" s="2" t="str">
        <f>'Detailed Car List + Stats'!U529</f>
        <v/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6.5" customHeight="1">
      <c r="A530" s="5" t="str">
        <f>'Detailed Car List + Stats'!B530</f>
        <v>1987</v>
      </c>
      <c r="B530" s="5" t="str">
        <f>'Detailed Car List + Stats'!C530</f>
        <v>Porsche</v>
      </c>
      <c r="C530" s="5" t="str">
        <f>'Detailed Car List + Stats'!D530</f>
        <v>959</v>
      </c>
      <c r="D530" s="5" t="str">
        <f>'Detailed Car List + Stats'!E530</f>
        <v>Retro Supercars</v>
      </c>
      <c r="E530" s="36" t="s">
        <v>1091</v>
      </c>
      <c r="F530" s="5" t="str">
        <f>'Detailed Car List + Stats'!G530</f>
        <v>Germany</v>
      </c>
      <c r="G530" s="9">
        <f>'Detailed Car List + Stats'!H530</f>
        <v>30000</v>
      </c>
      <c r="H530" s="10" t="s">
        <v>27</v>
      </c>
      <c r="I530" s="5" t="str">
        <f>'Detailed Car List + Stats'!T530</f>
        <v>Collection Journal</v>
      </c>
      <c r="J530" s="21" t="str">
        <f>'Detailed Car List + Stats'!U530</f>
        <v/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6.5" customHeight="1">
      <c r="A531" s="6" t="str">
        <f>'Detailed Car List + Stats'!B531</f>
        <v>1993</v>
      </c>
      <c r="B531" s="6" t="str">
        <f>'Detailed Car List + Stats'!C531</f>
        <v>Porsche</v>
      </c>
      <c r="C531" s="6" t="str">
        <f>'Detailed Car List + Stats'!D531</f>
        <v>968 Turbo S</v>
      </c>
      <c r="D531" s="6" t="str">
        <f>'Detailed Car List + Stats'!E531</f>
        <v>Retro Sports Cars</v>
      </c>
      <c r="E531" s="25" t="s">
        <v>546</v>
      </c>
      <c r="F531" s="6" t="str">
        <f>'Detailed Car List + Stats'!G531</f>
        <v>Germany</v>
      </c>
      <c r="G531" s="19">
        <f>'Detailed Car List + Stats'!H531</f>
        <v>520000</v>
      </c>
      <c r="H531" s="10" t="s">
        <v>27</v>
      </c>
      <c r="I531" s="6" t="str">
        <f>'Detailed Car List + Stats'!T531</f>
        <v>Autoshow, Wheelspin</v>
      </c>
      <c r="J531" s="2" t="str">
        <f>'Detailed Car List + Stats'!U531</f>
        <v/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6.5" customHeight="1">
      <c r="A532" s="5" t="str">
        <f>'Detailed Car List + Stats'!B532</f>
        <v>2003</v>
      </c>
      <c r="B532" s="5" t="str">
        <f>'Detailed Car List + Stats'!C532</f>
        <v>Porsche</v>
      </c>
      <c r="C532" s="5" t="str">
        <f>'Detailed Car List + Stats'!D532</f>
        <v>Carrera GT</v>
      </c>
      <c r="D532" s="5" t="str">
        <f>'Detailed Car List + Stats'!E532</f>
        <v>Retro Supercars</v>
      </c>
      <c r="E532" s="32" t="s">
        <v>1079</v>
      </c>
      <c r="F532" s="5" t="str">
        <f>'Detailed Car List + Stats'!G532</f>
        <v>Germany</v>
      </c>
      <c r="G532" s="9" t="str">
        <f>'Detailed Car List + Stats'!H532</f>
        <v/>
      </c>
      <c r="H532" s="48"/>
      <c r="I532" s="5" t="str">
        <f>'Detailed Car List + Stats'!T532</f>
        <v>Collection Journal, Seasonal</v>
      </c>
      <c r="J532" s="21" t="str">
        <f>'Detailed Car List + Stats'!U532</f>
        <v/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6.5" customHeight="1">
      <c r="A533" s="6" t="str">
        <f>'Detailed Car List + Stats'!B533</f>
        <v>2018</v>
      </c>
      <c r="B533" s="6" t="str">
        <f>'Detailed Car List + Stats'!C533</f>
        <v>Porsche</v>
      </c>
      <c r="C533" s="6" t="str">
        <f>'Detailed Car List + Stats'!D533</f>
        <v>Cayenne Turbo</v>
      </c>
      <c r="D533" s="6" t="str">
        <f>'Detailed Car List + Stats'!E533</f>
        <v>Sports Utility Heroes</v>
      </c>
      <c r="E533" s="36" t="s">
        <v>1095</v>
      </c>
      <c r="F533" s="6" t="str">
        <f>'Detailed Car List + Stats'!G533</f>
        <v>Germany</v>
      </c>
      <c r="G533" s="19">
        <f>'Detailed Car List + Stats'!H533</f>
        <v>79000</v>
      </c>
      <c r="H533" s="34" t="s">
        <v>62</v>
      </c>
      <c r="I533" s="6" t="str">
        <f>'Detailed Car List + Stats'!T533</f>
        <v>Autoshow, Wheelspin</v>
      </c>
      <c r="J533" s="2" t="str">
        <f>'Detailed Car List + Stats'!U533</f>
        <v/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6.5" customHeight="1">
      <c r="A534" s="6" t="str">
        <f>'Detailed Car List + Stats'!B534</f>
        <v>2005</v>
      </c>
      <c r="B534" s="6" t="str">
        <f>'Detailed Car List + Stats'!C534</f>
        <v>Porsche</v>
      </c>
      <c r="C534" s="6" t="str">
        <f>'Detailed Car List + Stats'!D534</f>
        <v>Cayman GT3 WTAC</v>
      </c>
      <c r="D534" s="6" t="str">
        <f>'Detailed Car List + Stats'!E534</f>
        <v>Extreme Track Toys</v>
      </c>
      <c r="E534" s="50" t="s">
        <v>1097</v>
      </c>
      <c r="F534" s="6" t="str">
        <f>'Detailed Car List + Stats'!G534</f>
        <v>Germany</v>
      </c>
      <c r="G534" s="19">
        <f>'Detailed Car List + Stats'!H534</f>
        <v>180000</v>
      </c>
      <c r="H534" s="34" t="s">
        <v>62</v>
      </c>
      <c r="I534" s="6" t="str">
        <f>'Detailed Car List + Stats'!T534</f>
        <v>Autoshow, Wheelspin</v>
      </c>
      <c r="J534" s="2" t="str">
        <f>'Detailed Car List + Stats'!U534</f>
        <v/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6.5" customHeight="1">
      <c r="A535" s="6" t="str">
        <f>'Detailed Car List + Stats'!B535</f>
        <v>2018</v>
      </c>
      <c r="B535" s="6" t="str">
        <f>'Detailed Car List + Stats'!C535</f>
        <v>Porsche</v>
      </c>
      <c r="C535" s="6" t="str">
        <f>'Detailed Car List + Stats'!D535</f>
        <v>Macan LPR Rally Raid</v>
      </c>
      <c r="D535" s="6" t="str">
        <f>'Detailed Car List + Stats'!E535</f>
        <v>Offroad</v>
      </c>
      <c r="E535" s="25" t="s">
        <v>568</v>
      </c>
      <c r="F535" s="6" t="str">
        <f>'Detailed Car List + Stats'!G535</f>
        <v>Germany</v>
      </c>
      <c r="G535" s="19">
        <f>'Detailed Car List + Stats'!H535</f>
        <v>250000</v>
      </c>
      <c r="H535" s="34" t="s">
        <v>62</v>
      </c>
      <c r="I535" s="6" t="str">
        <f>'Detailed Car List + Stats'!T535</f>
        <v>Autoshow, Wheelspin</v>
      </c>
      <c r="J535" s="2" t="str">
        <f>'Detailed Car List + Stats'!U535</f>
        <v/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6.5" customHeight="1">
      <c r="A536" s="6" t="str">
        <f>'Detailed Car List + Stats'!B536</f>
        <v>2021</v>
      </c>
      <c r="B536" s="6" t="str">
        <f>'Detailed Car List + Stats'!C536</f>
        <v>Porsche</v>
      </c>
      <c r="C536" s="6" t="str">
        <f>'Detailed Car List + Stats'!D536</f>
        <v>Mission R</v>
      </c>
      <c r="D536" s="6" t="str">
        <f>'Detailed Car List + Stats'!E536</f>
        <v>Extreme Track Toys</v>
      </c>
      <c r="E536" s="50" t="s">
        <v>1100</v>
      </c>
      <c r="F536" s="6" t="str">
        <f>'Detailed Car List + Stats'!G536</f>
        <v>Germany</v>
      </c>
      <c r="G536" s="19">
        <f>'Detailed Car List + Stats'!H536</f>
        <v>5000000</v>
      </c>
      <c r="H536" s="35" t="s">
        <v>76</v>
      </c>
      <c r="I536" s="6" t="str">
        <f>'Detailed Car List + Stats'!T536</f>
        <v>Autoshow, Wheelspin</v>
      </c>
      <c r="J536" s="2" t="str">
        <f>'Detailed Car List + Stats'!U536</f>
        <v/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6.5" customHeight="1">
      <c r="A537" s="6" t="str">
        <f>'Detailed Car List + Stats'!B537</f>
        <v>2020</v>
      </c>
      <c r="B537" s="6" t="str">
        <f>'Detailed Car List + Stats'!C537</f>
        <v>Porsche</v>
      </c>
      <c r="C537" s="6" t="str">
        <f>'Detailed Car List + Stats'!D537</f>
        <v>Taycan Turbo S</v>
      </c>
      <c r="D537" s="6" t="str">
        <f>'Detailed Car List + Stats'!E537</f>
        <v>Modern Super Saloons</v>
      </c>
      <c r="E537" s="32" t="s">
        <v>1102</v>
      </c>
      <c r="F537" s="6" t="str">
        <f>'Detailed Car List + Stats'!G537</f>
        <v>Germany</v>
      </c>
      <c r="G537" s="19">
        <f>'Detailed Car List + Stats'!H537</f>
        <v>200000</v>
      </c>
      <c r="H537" s="20" t="s">
        <v>33</v>
      </c>
      <c r="I537" s="6" t="str">
        <f>'Detailed Car List + Stats'!T537</f>
        <v>Autoshow, Wheelspin</v>
      </c>
      <c r="J537" s="2" t="str">
        <f>'Detailed Car List + Stats'!U537</f>
        <v/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6.5" customHeight="1">
      <c r="A538" s="6" t="str">
        <f>'Detailed Car List + Stats'!B538</f>
        <v>2015</v>
      </c>
      <c r="B538" s="6" t="str">
        <f>'Detailed Car List + Stats'!C538</f>
        <v>Radical</v>
      </c>
      <c r="C538" s="6" t="str">
        <f>'Detailed Car List + Stats'!D538</f>
        <v>RXC Turbo</v>
      </c>
      <c r="D538" s="6" t="str">
        <f>'Detailed Car List + Stats'!E538</f>
        <v>Extreme Track Toys</v>
      </c>
      <c r="E538" s="50" t="s">
        <v>1105</v>
      </c>
      <c r="F538" s="6" t="str">
        <f>'Detailed Car List + Stats'!G538</f>
        <v>UK</v>
      </c>
      <c r="G538" s="19">
        <f>'Detailed Car List + Stats'!H538</f>
        <v>147000</v>
      </c>
      <c r="H538" s="34" t="s">
        <v>62</v>
      </c>
      <c r="I538" s="6" t="str">
        <f>'Detailed Car List + Stats'!T538</f>
        <v>Autoshow, Wheelspin</v>
      </c>
      <c r="J538" s="2" t="str">
        <f>'Detailed Car List + Stats'!U538</f>
        <v/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6.5" customHeight="1">
      <c r="A539" s="6" t="str">
        <f>'Detailed Car List + Stats'!B539</f>
        <v>2024</v>
      </c>
      <c r="B539" s="6" t="str">
        <f>'Detailed Car List + Stats'!C539</f>
        <v>Ram</v>
      </c>
      <c r="C539" s="6" t="str">
        <f>'Detailed Car List + Stats'!D539</f>
        <v>1500 TRX</v>
      </c>
      <c r="D539" s="6" t="str">
        <f>'Detailed Car List + Stats'!E539</f>
        <v>Pickups &amp; 4x4s</v>
      </c>
      <c r="E539" s="25" t="s">
        <v>665</v>
      </c>
      <c r="F539" s="6" t="str">
        <f>'Detailed Car List + Stats'!G539</f>
        <v>USA</v>
      </c>
      <c r="G539" s="19">
        <f>'Detailed Car List + Stats'!H539</f>
        <v>100000</v>
      </c>
      <c r="H539" s="20" t="s">
        <v>33</v>
      </c>
      <c r="I539" s="6" t="str">
        <f>'Detailed Car List + Stats'!T539</f>
        <v>Autoshow</v>
      </c>
      <c r="J539" s="2" t="str">
        <f>'Detailed Car List + Stats'!U539</f>
        <v/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6.5" customHeight="1">
      <c r="A540" s="6" t="str">
        <f>'Detailed Car List + Stats'!B540</f>
        <v>1972</v>
      </c>
      <c r="B540" s="6" t="str">
        <f>'Detailed Car List + Stats'!C540</f>
        <v>Reliant</v>
      </c>
      <c r="C540" s="6" t="str">
        <f>'Detailed Car List + Stats'!D540</f>
        <v>Supervan III</v>
      </c>
      <c r="D540" s="6" t="str">
        <f>'Detailed Car List + Stats'!E540</f>
        <v>Utility Heroes</v>
      </c>
      <c r="E540" s="17" t="s">
        <v>32</v>
      </c>
      <c r="F540" s="6" t="str">
        <f>'Detailed Car List + Stats'!G540</f>
        <v>UK</v>
      </c>
      <c r="G540" s="19">
        <f>'Detailed Car List + Stats'!H540</f>
        <v>39000</v>
      </c>
      <c r="H540" s="20" t="s">
        <v>33</v>
      </c>
      <c r="I540" s="6" t="str">
        <f>'Detailed Car List + Stats'!T540</f>
        <v>Autoshow, Wheelspin</v>
      </c>
      <c r="J540" s="2" t="str">
        <f>'Detailed Car List + Stats'!U540</f>
        <v/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6.5" customHeight="1">
      <c r="A541" s="6" t="str">
        <f>'Detailed Car List + Stats'!B541</f>
        <v>1980</v>
      </c>
      <c r="B541" s="6" t="str">
        <f>'Detailed Car List + Stats'!C541</f>
        <v>Renault</v>
      </c>
      <c r="C541" s="6" t="str">
        <f>'Detailed Car List + Stats'!D541</f>
        <v>5 Turbo</v>
      </c>
      <c r="D541" s="6" t="str">
        <f>'Detailed Car List + Stats'!E541</f>
        <v>Retro Rally</v>
      </c>
      <c r="E541" s="8" t="s">
        <v>416</v>
      </c>
      <c r="F541" s="6" t="str">
        <f>'Detailed Car List + Stats'!G541</f>
        <v>France</v>
      </c>
      <c r="G541" s="19">
        <f>'Detailed Car List + Stats'!H541</f>
        <v>143000</v>
      </c>
      <c r="H541" s="10" t="s">
        <v>27</v>
      </c>
      <c r="I541" s="6" t="str">
        <f>'Detailed Car List + Stats'!T541</f>
        <v>Autoshow, Wheelspin</v>
      </c>
      <c r="J541" s="2" t="str">
        <f>'Detailed Car List + Stats'!U541</f>
        <v/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6.5" customHeight="1">
      <c r="A542" s="5" t="str">
        <f>'Detailed Car List + Stats'!B542</f>
        <v>1967</v>
      </c>
      <c r="B542" s="5" t="str">
        <f>'Detailed Car List + Stats'!C542</f>
        <v>Renault</v>
      </c>
      <c r="C542" s="5" t="str">
        <f>'Detailed Car List + Stats'!D542</f>
        <v>8 Gordini</v>
      </c>
      <c r="D542" s="5" t="str">
        <f>'Detailed Car List + Stats'!E542</f>
        <v>Classic Rally</v>
      </c>
      <c r="E542" s="17" t="s">
        <v>1113</v>
      </c>
      <c r="F542" s="5" t="str">
        <f>'Detailed Car List + Stats'!G542</f>
        <v>France</v>
      </c>
      <c r="G542" s="9">
        <f>'Detailed Car List + Stats'!H542</f>
        <v>250000</v>
      </c>
      <c r="H542" s="20" t="s">
        <v>33</v>
      </c>
      <c r="I542" s="5" t="str">
        <f>'Detailed Car List + Stats'!T542</f>
        <v>Seasonal</v>
      </c>
      <c r="J542" s="21" t="str">
        <f>'Detailed Car List + Stats'!U542</f>
        <v/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6.5" customHeight="1">
      <c r="A543" s="6" t="str">
        <f>'Detailed Car List + Stats'!B543</f>
        <v>1993</v>
      </c>
      <c r="B543" s="6" t="str">
        <f>'Detailed Car List + Stats'!C543</f>
        <v>Renault</v>
      </c>
      <c r="C543" s="6" t="str">
        <f>'Detailed Car List + Stats'!D543</f>
        <v>Clio Williams</v>
      </c>
      <c r="D543" s="6" t="str">
        <f>'Detailed Car List + Stats'!E543</f>
        <v>Retro Hot Hatch</v>
      </c>
      <c r="E543" s="17" t="s">
        <v>1115</v>
      </c>
      <c r="F543" s="6" t="str">
        <f>'Detailed Car List + Stats'!G543</f>
        <v>France</v>
      </c>
      <c r="G543" s="19">
        <f>'Detailed Car List + Stats'!H543</f>
        <v>30000</v>
      </c>
      <c r="H543" s="20" t="s">
        <v>33</v>
      </c>
      <c r="I543" s="6" t="str">
        <f>'Detailed Car List + Stats'!T543</f>
        <v>Autoshow, Wheelspin</v>
      </c>
      <c r="J543" s="2" t="str">
        <f>'Detailed Car List + Stats'!U543</f>
        <v/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6.5" customHeight="1">
      <c r="A544" s="6" t="str">
        <f>'Detailed Car List + Stats'!B544</f>
        <v>2018</v>
      </c>
      <c r="B544" s="6" t="str">
        <f>'Detailed Car List + Stats'!C544</f>
        <v>Renault</v>
      </c>
      <c r="C544" s="6" t="str">
        <f>'Detailed Car List + Stats'!D544</f>
        <v>Megane R.S.</v>
      </c>
      <c r="D544" s="6" t="str">
        <f>'Detailed Car List + Stats'!E544</f>
        <v>Super Hot Hatch</v>
      </c>
      <c r="E544" s="25" t="s">
        <v>424</v>
      </c>
      <c r="F544" s="6" t="str">
        <f>'Detailed Car List + Stats'!G544</f>
        <v>France</v>
      </c>
      <c r="G544" s="19">
        <f>'Detailed Car List + Stats'!H544</f>
        <v>32000</v>
      </c>
      <c r="H544" s="10" t="s">
        <v>27</v>
      </c>
      <c r="I544" s="6" t="str">
        <f>'Detailed Car List + Stats'!T544</f>
        <v>Autoshow, Wheelspin</v>
      </c>
      <c r="J544" s="2" t="str">
        <f>'Detailed Car List + Stats'!U544</f>
        <v/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6.5" customHeight="1">
      <c r="A545" s="6" t="str">
        <f>'Detailed Car List + Stats'!B545</f>
        <v>2008</v>
      </c>
      <c r="B545" s="6" t="str">
        <f>'Detailed Car List + Stats'!C545</f>
        <v>Renault</v>
      </c>
      <c r="C545" s="6" t="str">
        <f>'Detailed Car List + Stats'!D545</f>
        <v>Mégane R26.R</v>
      </c>
      <c r="D545" s="6" t="str">
        <f>'Detailed Car List + Stats'!E545</f>
        <v>Hot Hatch</v>
      </c>
      <c r="E545" s="25" t="s">
        <v>1118</v>
      </c>
      <c r="F545" s="6" t="str">
        <f>'Detailed Car List + Stats'!G545</f>
        <v>France</v>
      </c>
      <c r="G545" s="19">
        <f>'Detailed Car List + Stats'!H545</f>
        <v>58000</v>
      </c>
      <c r="H545" s="10" t="s">
        <v>27</v>
      </c>
      <c r="I545" s="6" t="str">
        <f>'Detailed Car List + Stats'!T545</f>
        <v>Autoshow, Wheelspin</v>
      </c>
      <c r="J545" s="2" t="str">
        <f>'Detailed Car List + Stats'!U545</f>
        <v/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6.5" customHeight="1">
      <c r="A546" s="6" t="str">
        <f>'Detailed Car List + Stats'!B546</f>
        <v>2010</v>
      </c>
      <c r="B546" s="6" t="str">
        <f>'Detailed Car List + Stats'!C546</f>
        <v>Renault</v>
      </c>
      <c r="C546" s="6" t="str">
        <f>'Detailed Car List + Stats'!D546</f>
        <v>Megane RS 250</v>
      </c>
      <c r="D546" s="6" t="str">
        <f>'Detailed Car List + Stats'!E546</f>
        <v>Super Hot Hatch</v>
      </c>
      <c r="E546" s="25" t="s">
        <v>1120</v>
      </c>
      <c r="F546" s="6" t="str">
        <f>'Detailed Car List + Stats'!G546</f>
        <v>France</v>
      </c>
      <c r="G546" s="19">
        <f>'Detailed Car List + Stats'!H546</f>
        <v>14000</v>
      </c>
      <c r="H546" s="20" t="s">
        <v>33</v>
      </c>
      <c r="I546" s="6" t="str">
        <f>'Detailed Car List + Stats'!T546</f>
        <v>Autoshow, Wheelspin</v>
      </c>
      <c r="J546" s="2" t="str">
        <f>'Detailed Car List + Stats'!U546</f>
        <v/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6.5" customHeight="1">
      <c r="A547" s="5" t="str">
        <f>'Detailed Car List + Stats'!B547</f>
        <v>2021</v>
      </c>
      <c r="B547" s="5" t="str">
        <f>'Detailed Car List + Stats'!C547</f>
        <v>Rimac</v>
      </c>
      <c r="C547" s="5" t="str">
        <f>'Detailed Car List + Stats'!D547</f>
        <v>Nevera</v>
      </c>
      <c r="D547" s="5" t="str">
        <f>'Detailed Car List + Stats'!E547</f>
        <v>Hypercars</v>
      </c>
      <c r="E547" s="49" t="s">
        <v>645</v>
      </c>
      <c r="F547" s="5" t="str">
        <f>'Detailed Car List + Stats'!G547</f>
        <v>Croatia</v>
      </c>
      <c r="G547" s="9">
        <f>'Detailed Car List + Stats'!H547</f>
        <v>2250000</v>
      </c>
      <c r="H547" s="35" t="s">
        <v>76</v>
      </c>
      <c r="I547" s="5" t="str">
        <f>'Detailed Car List + Stats'!T547</f>
        <v>Wheelspin, Seasonal</v>
      </c>
      <c r="J547" s="21" t="str">
        <f>'Detailed Car List + Stats'!U547</f>
        <v/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6.5" customHeight="1">
      <c r="A548" s="6" t="str">
        <f>'Detailed Car List + Stats'!B548</f>
        <v>2022</v>
      </c>
      <c r="B548" s="6" t="str">
        <f>'Detailed Car List + Stats'!C548</f>
        <v>Rivian</v>
      </c>
      <c r="C548" s="6" t="str">
        <f>'Detailed Car List + Stats'!D548</f>
        <v>R1T</v>
      </c>
      <c r="D548" s="6" t="str">
        <f>'Detailed Car List + Stats'!E548</f>
        <v>Pickups &amp; 4x4s</v>
      </c>
      <c r="E548" s="36" t="s">
        <v>195</v>
      </c>
      <c r="F548" s="6" t="str">
        <f>'Detailed Car List + Stats'!G548</f>
        <v>USA</v>
      </c>
      <c r="G548" s="19">
        <f>'Detailed Car List + Stats'!H548</f>
        <v>56000</v>
      </c>
      <c r="H548" s="34" t="s">
        <v>62</v>
      </c>
      <c r="I548" s="6" t="str">
        <f>'Detailed Car List + Stats'!T548</f>
        <v>Autoshow, Wheelspin</v>
      </c>
      <c r="J548" s="2" t="str">
        <f>'Detailed Car List + Stats'!U548</f>
        <v/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6.5" customHeight="1">
      <c r="A549" s="6" t="str">
        <f>'Detailed Car List + Stats'!B549</f>
        <v>2016</v>
      </c>
      <c r="B549" s="6" t="str">
        <f>'Detailed Car List + Stats'!C549</f>
        <v>RJ Anderson</v>
      </c>
      <c r="C549" s="6" t="str">
        <f>'Detailed Car List + Stats'!D549</f>
        <v>#37 Polaris RZR Pro 2 Truck</v>
      </c>
      <c r="D549" s="6" t="str">
        <f>'Detailed Car List + Stats'!E549</f>
        <v>Unlimited Offroad</v>
      </c>
      <c r="E549" s="36" t="s">
        <v>879</v>
      </c>
      <c r="F549" s="6" t="str">
        <f>'Detailed Car List + Stats'!G549</f>
        <v>USA</v>
      </c>
      <c r="G549" s="19">
        <f>'Detailed Car List + Stats'!H549</f>
        <v>120000</v>
      </c>
      <c r="H549" s="34" t="s">
        <v>62</v>
      </c>
      <c r="I549" s="6" t="str">
        <f>'Detailed Car List + Stats'!T549</f>
        <v>Autoshow, Collection Journal</v>
      </c>
      <c r="J549" s="2" t="str">
        <f>'Detailed Car List + Stats'!U549</f>
        <v/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6.5" customHeight="1">
      <c r="A550" s="5" t="str">
        <f>'Detailed Car List + Stats'!B550</f>
        <v>2021</v>
      </c>
      <c r="B550" s="5" t="str">
        <f>'Detailed Car List + Stats'!C550</f>
        <v>RJ Anderson</v>
      </c>
      <c r="C550" s="5" t="str">
        <f>'Detailed Car List + Stats'!D550</f>
        <v>#37 Polaris RZR Pro 4 Truck</v>
      </c>
      <c r="D550" s="5" t="str">
        <f>'Detailed Car List + Stats'!E550</f>
        <v>Unlimited Offroad</v>
      </c>
      <c r="E550" s="36" t="s">
        <v>210</v>
      </c>
      <c r="F550" s="5" t="str">
        <f>'Detailed Car List + Stats'!G550</f>
        <v>USA</v>
      </c>
      <c r="G550" s="9" t="str">
        <f>'Detailed Car List + Stats'!H550</f>
        <v/>
      </c>
      <c r="H550" s="48"/>
      <c r="I550" s="5" t="str">
        <f>'Detailed Car List + Stats'!T550</f>
        <v>Wheelspin, Seasonal</v>
      </c>
      <c r="J550" s="21" t="str">
        <f>'Detailed Car List + Stats'!U550</f>
        <v/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6.5" customHeight="1">
      <c r="A551" s="5" t="str">
        <f>'Detailed Car List + Stats'!B551</f>
        <v>2017</v>
      </c>
      <c r="B551" s="5" t="str">
        <f>'Detailed Car List + Stats'!C551</f>
        <v>Saleen</v>
      </c>
      <c r="C551" s="5" t="str">
        <f>'Detailed Car List + Stats'!D551</f>
        <v>S7 LM</v>
      </c>
      <c r="D551" s="5" t="str">
        <f>'Detailed Car List + Stats'!E551</f>
        <v>Extreme Track Toys</v>
      </c>
      <c r="E551" s="50" t="s">
        <v>875</v>
      </c>
      <c r="F551" s="5" t="str">
        <f>'Detailed Car List + Stats'!G551</f>
        <v>USA</v>
      </c>
      <c r="G551" s="9">
        <f>'Detailed Car List + Stats'!H551</f>
        <v>1000000</v>
      </c>
      <c r="H551" s="34" t="s">
        <v>62</v>
      </c>
      <c r="I551" s="5" t="str">
        <f>'Detailed Car List + Stats'!T551</f>
        <v>Seasonal</v>
      </c>
      <c r="J551" s="21" t="str">
        <f>'Detailed Car List + Stats'!U551</f>
        <v/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6.5" customHeight="1">
      <c r="A552" s="5" t="str">
        <f>'Detailed Car List + Stats'!B552</f>
        <v>1993</v>
      </c>
      <c r="B552" s="5" t="str">
        <f>'Detailed Car List + Stats'!C552</f>
        <v>Schuppan</v>
      </c>
      <c r="C552" s="5" t="str">
        <f>'Detailed Car List + Stats'!D552</f>
        <v>962CR</v>
      </c>
      <c r="D552" s="5" t="str">
        <f>'Detailed Car List + Stats'!E552</f>
        <v>Retro Supercars</v>
      </c>
      <c r="E552" s="32" t="s">
        <v>886</v>
      </c>
      <c r="F552" s="5" t="str">
        <f>'Detailed Car List + Stats'!G552</f>
        <v>UK</v>
      </c>
      <c r="G552" s="9">
        <f>'Detailed Car List + Stats'!H552</f>
        <v>1950000</v>
      </c>
      <c r="H552" s="34" t="s">
        <v>62</v>
      </c>
      <c r="I552" s="5" t="str">
        <f>'Detailed Car List + Stats'!T552</f>
        <v>Seasonal</v>
      </c>
      <c r="J552" s="21" t="str">
        <f>'Detailed Car List + Stats'!U552</f>
        <v/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6.5" customHeight="1">
      <c r="A553" s="5" t="str">
        <f>'Detailed Car List + Stats'!B553</f>
        <v>1965</v>
      </c>
      <c r="B553" s="5" t="str">
        <f>'Detailed Car List + Stats'!C553</f>
        <v>Shelby</v>
      </c>
      <c r="C553" s="5" t="str">
        <f>'Detailed Car List + Stats'!D553</f>
        <v>Cobra 427 S/C</v>
      </c>
      <c r="D553" s="5" t="str">
        <f>'Detailed Car List + Stats'!E553</f>
        <v>Rare Classics</v>
      </c>
      <c r="E553" s="25" t="s">
        <v>902</v>
      </c>
      <c r="F553" s="5" t="str">
        <f>'Detailed Car List + Stats'!G553</f>
        <v>USA</v>
      </c>
      <c r="G553" s="9" t="str">
        <f>'Detailed Car List + Stats'!H553</f>
        <v/>
      </c>
      <c r="H553" s="48"/>
      <c r="I553" s="5" t="str">
        <f>'Detailed Car List + Stats'!T553</f>
        <v>Collection Journal, Seasonal</v>
      </c>
      <c r="J553" s="21" t="str">
        <f>'Detailed Car List + Stats'!U553</f>
        <v/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6.5" customHeight="1">
      <c r="A554" s="6" t="str">
        <f>'Detailed Car List + Stats'!B554</f>
        <v>1965</v>
      </c>
      <c r="B554" s="6" t="str">
        <f>'Detailed Car List + Stats'!C554</f>
        <v>Shelby</v>
      </c>
      <c r="C554" s="6" t="str">
        <f>'Detailed Car List + Stats'!D554</f>
        <v>Cobra Daytona Coupe</v>
      </c>
      <c r="D554" s="6" t="str">
        <f>'Detailed Car List + Stats'!E554</f>
        <v>Classic Racers</v>
      </c>
      <c r="E554" s="25" t="s">
        <v>1136</v>
      </c>
      <c r="F554" s="6" t="str">
        <f>'Detailed Car List + Stats'!G554</f>
        <v>USA</v>
      </c>
      <c r="G554" s="19">
        <f>'Detailed Car List + Stats'!H554</f>
        <v>20000000</v>
      </c>
      <c r="H554" s="35" t="s">
        <v>76</v>
      </c>
      <c r="I554" s="6" t="str">
        <f>'Detailed Car List + Stats'!T554</f>
        <v>Autoshow, Wheelspin</v>
      </c>
      <c r="J554" s="2" t="str">
        <f>'Detailed Car List + Stats'!U554</f>
        <v/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6.5" customHeight="1">
      <c r="A555" s="6" t="str">
        <f>'Detailed Car List + Stats'!B555</f>
        <v>2020</v>
      </c>
      <c r="B555" s="6" t="str">
        <f>'Detailed Car List + Stats'!C555</f>
        <v>SIERRA Cars</v>
      </c>
      <c r="C555" s="6" t="str">
        <f>'Detailed Car List + Stats'!D555</f>
        <v>#23 Yokohama ALPHA</v>
      </c>
      <c r="D555" s="6" t="str">
        <f>'Detailed Car List + Stats'!E555</f>
        <v>Extreme Track Toys</v>
      </c>
      <c r="E555" s="49" t="s">
        <v>835</v>
      </c>
      <c r="F555" s="6" t="str">
        <f>'Detailed Car List + Stats'!G555</f>
        <v>USA</v>
      </c>
      <c r="G555" s="19">
        <f>'Detailed Car List + Stats'!H555</f>
        <v>65000</v>
      </c>
      <c r="H555" s="34" t="s">
        <v>62</v>
      </c>
      <c r="I555" s="6" t="str">
        <f>'Detailed Car List + Stats'!T555</f>
        <v>Autoshow, Wheelspin</v>
      </c>
      <c r="J555" s="2" t="str">
        <f>'Detailed Car List + Stats'!U555</f>
        <v/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6.5" customHeight="1">
      <c r="A556" s="6" t="str">
        <f>'Detailed Car List + Stats'!B556</f>
        <v>2021</v>
      </c>
      <c r="B556" s="6" t="str">
        <f>'Detailed Car List + Stats'!C556</f>
        <v>SIERRA Cars</v>
      </c>
      <c r="C556" s="6" t="str">
        <f>'Detailed Car List + Stats'!D556</f>
        <v>700R</v>
      </c>
      <c r="D556" s="6" t="str">
        <f>'Detailed Car List + Stats'!E556</f>
        <v>UTVs</v>
      </c>
      <c r="E556" s="17" t="s">
        <v>952</v>
      </c>
      <c r="F556" s="6" t="str">
        <f>'Detailed Car List + Stats'!G556</f>
        <v>USA</v>
      </c>
      <c r="G556" s="19">
        <f>'Detailed Car List + Stats'!H556</f>
        <v>75000</v>
      </c>
      <c r="H556" s="10" t="s">
        <v>27</v>
      </c>
      <c r="I556" s="6" t="str">
        <f>'Detailed Car List + Stats'!T556</f>
        <v>Autoshow, Wheelspin</v>
      </c>
      <c r="J556" s="2" t="str">
        <f>'Detailed Car List + Stats'!U556</f>
        <v/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6.5" customHeight="1">
      <c r="A557" s="6" t="str">
        <f>'Detailed Car List + Stats'!B557</f>
        <v>2021</v>
      </c>
      <c r="B557" s="6" t="str">
        <f>'Detailed Car List + Stats'!C557</f>
        <v>SIERRA Cars</v>
      </c>
      <c r="C557" s="6" t="str">
        <f>'Detailed Car List + Stats'!D557</f>
        <v>RX3</v>
      </c>
      <c r="D557" s="6" t="str">
        <f>'Detailed Car List + Stats'!E557</f>
        <v>UTVs</v>
      </c>
      <c r="E557" s="36" t="s">
        <v>85</v>
      </c>
      <c r="F557" s="6" t="str">
        <f>'Detailed Car List + Stats'!G557</f>
        <v>USA</v>
      </c>
      <c r="G557" s="19">
        <f>'Detailed Car List + Stats'!H557</f>
        <v>50000</v>
      </c>
      <c r="H557" s="10" t="s">
        <v>27</v>
      </c>
      <c r="I557" s="6" t="str">
        <f>'Detailed Car List + Stats'!T557</f>
        <v>Autoshow, Wheelspin</v>
      </c>
      <c r="J557" s="2" t="str">
        <f>'Detailed Car List + Stats'!U557</f>
        <v/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6.5" customHeight="1">
      <c r="A558" s="6" t="str">
        <f>'Detailed Car List + Stats'!B558</f>
        <v>2013</v>
      </c>
      <c r="B558" s="6" t="str">
        <f>'Detailed Car List + Stats'!C558</f>
        <v>SRT</v>
      </c>
      <c r="C558" s="6" t="str">
        <f>'Detailed Car List + Stats'!D558</f>
        <v>Viper GTS</v>
      </c>
      <c r="D558" s="6" t="str">
        <f>'Detailed Car List + Stats'!E558</f>
        <v>Modern Muscle</v>
      </c>
      <c r="E558" s="32" t="s">
        <v>395</v>
      </c>
      <c r="F558" s="6" t="str">
        <f>'Detailed Car List + Stats'!G558</f>
        <v>USA</v>
      </c>
      <c r="G558" s="19">
        <f>'Detailed Car List + Stats'!H558</f>
        <v>135000</v>
      </c>
      <c r="H558" s="10" t="s">
        <v>27</v>
      </c>
      <c r="I558" s="6" t="str">
        <f>'Detailed Car List + Stats'!T558</f>
        <v>Autoshow, Wheelspin, Loyalty</v>
      </c>
      <c r="J558" s="2" t="str">
        <f>'Detailed Car List + Stats'!U558</f>
        <v/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6.5" customHeight="1">
      <c r="A559" s="6" t="str">
        <f>'Detailed Car List + Stats'!B559</f>
        <v>1980</v>
      </c>
      <c r="B559" s="6" t="str">
        <f>'Detailed Car List + Stats'!C559</f>
        <v>Subaru</v>
      </c>
      <c r="C559" s="6" t="str">
        <f>'Detailed Car List + Stats'!D559</f>
        <v>Brat GL</v>
      </c>
      <c r="D559" s="6" t="str">
        <f>'Detailed Car List + Stats'!E559</f>
        <v>Utility Heroes</v>
      </c>
      <c r="E559" s="17" t="s">
        <v>1145</v>
      </c>
      <c r="F559" s="6" t="str">
        <f>'Detailed Car List + Stats'!G559</f>
        <v>Japan</v>
      </c>
      <c r="G559" s="19">
        <f>'Detailed Car List + Stats'!H559</f>
        <v>20000</v>
      </c>
      <c r="H559" s="20" t="s">
        <v>33</v>
      </c>
      <c r="I559" s="6" t="str">
        <f>'Detailed Car List + Stats'!T559</f>
        <v>Autoshow, Wheelspin</v>
      </c>
      <c r="J559" s="2" t="str">
        <f>'Detailed Car List + Stats'!U559</f>
        <v/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6.5" customHeight="1">
      <c r="A560" s="6" t="str">
        <f>'Detailed Car List + Stats'!B560</f>
        <v>2013</v>
      </c>
      <c r="B560" s="6" t="str">
        <f>'Detailed Car List + Stats'!C560</f>
        <v>Subaru</v>
      </c>
      <c r="C560" s="6" t="str">
        <f>'Detailed Car List + Stats'!D560</f>
        <v>BRZ</v>
      </c>
      <c r="D560" s="6" t="str">
        <f>'Detailed Car List + Stats'!E560</f>
        <v>Modern Sports Cars</v>
      </c>
      <c r="E560" s="8" t="s">
        <v>1147</v>
      </c>
      <c r="F560" s="6" t="str">
        <f>'Detailed Car List + Stats'!G560</f>
        <v>Japan</v>
      </c>
      <c r="G560" s="19">
        <f>'Detailed Car List + Stats'!H560</f>
        <v>25000</v>
      </c>
      <c r="H560" s="20" t="s">
        <v>33</v>
      </c>
      <c r="I560" s="6" t="str">
        <f>'Detailed Car List + Stats'!T560</f>
        <v>Autoshow, Wheelspin</v>
      </c>
      <c r="J560" s="2" t="str">
        <f>'Detailed Car List + Stats'!U560</f>
        <v/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6.5" customHeight="1">
      <c r="A561" s="6" t="str">
        <f>'Detailed Car List + Stats'!B561</f>
        <v>2022</v>
      </c>
      <c r="B561" s="6" t="str">
        <f>'Detailed Car List + Stats'!C561</f>
        <v>Subaru</v>
      </c>
      <c r="C561" s="6" t="str">
        <f>'Detailed Car List + Stats'!D561</f>
        <v>BRZ</v>
      </c>
      <c r="D561" s="6" t="str">
        <f>'Detailed Car List + Stats'!E561</f>
        <v>Modern Sports Cars</v>
      </c>
      <c r="E561" s="25" t="s">
        <v>544</v>
      </c>
      <c r="F561" s="6" t="str">
        <f>'Detailed Car List + Stats'!G561</f>
        <v>Japan</v>
      </c>
      <c r="G561" s="19">
        <f>'Detailed Car List + Stats'!H561</f>
        <v>28000</v>
      </c>
      <c r="H561" s="34" t="s">
        <v>62</v>
      </c>
      <c r="I561" s="6" t="str">
        <f>'Detailed Car List + Stats'!T561</f>
        <v>Autoshow, Wheelspin</v>
      </c>
      <c r="J561" s="2" t="str">
        <f>'Detailed Car List + Stats'!U561</f>
        <v/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6.5" customHeight="1">
      <c r="A562" s="5" t="str">
        <f>'Detailed Car List + Stats'!B562</f>
        <v>2022</v>
      </c>
      <c r="B562" s="5" t="str">
        <f>'Detailed Car List + Stats'!C562</f>
        <v>Subaru</v>
      </c>
      <c r="C562" s="5" t="str">
        <f>'Detailed Car List + Stats'!D562</f>
        <v>BRZ Forza Edition</v>
      </c>
      <c r="D562" s="5" t="str">
        <f>'Detailed Car List + Stats'!E562</f>
        <v>Unlimited Offroad</v>
      </c>
      <c r="E562" s="36" t="s">
        <v>262</v>
      </c>
      <c r="F562" s="5" t="str">
        <f>'Detailed Car List + Stats'!G562</f>
        <v>Japan</v>
      </c>
      <c r="G562" s="9">
        <f>'Detailed Car List + Stats'!H562</f>
        <v>500000</v>
      </c>
      <c r="H562" s="53" t="s">
        <v>430</v>
      </c>
      <c r="I562" s="5" t="str">
        <f>'Detailed Car List + Stats'!T562</f>
        <v>Aftermarket</v>
      </c>
      <c r="J562" s="21" t="str">
        <f>'Detailed Car List + Stats'!U562</f>
        <v/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6.5" customHeight="1">
      <c r="A563" s="6" t="str">
        <f>'Detailed Car List + Stats'!B563</f>
        <v>1998</v>
      </c>
      <c r="B563" s="6" t="str">
        <f>'Detailed Car List + Stats'!C563</f>
        <v>Subaru</v>
      </c>
      <c r="C563" s="6" t="str">
        <f>'Detailed Car List + Stats'!D563</f>
        <v>Impreza 22B STi</v>
      </c>
      <c r="D563" s="6" t="str">
        <f>'Detailed Car List + Stats'!E563</f>
        <v>Retro Rally</v>
      </c>
      <c r="E563" s="25" t="s">
        <v>536</v>
      </c>
      <c r="F563" s="6" t="str">
        <f>'Detailed Car List + Stats'!G563</f>
        <v>Japan</v>
      </c>
      <c r="G563" s="19">
        <f>'Detailed Car List + Stats'!H563</f>
        <v>86000</v>
      </c>
      <c r="H563" s="35" t="s">
        <v>76</v>
      </c>
      <c r="I563" s="6" t="str">
        <f>'Detailed Car List + Stats'!T563</f>
        <v>Autoshow, Wheelspin</v>
      </c>
      <c r="J563" s="2" t="str">
        <f>'Detailed Car List + Stats'!U563</f>
        <v/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6.5" customHeight="1">
      <c r="A564" s="6" t="str">
        <f>'Detailed Car List + Stats'!B564</f>
        <v>2004</v>
      </c>
      <c r="B564" s="6" t="str">
        <f>'Detailed Car List + Stats'!C564</f>
        <v>Subaru</v>
      </c>
      <c r="C564" s="6" t="str">
        <f>'Detailed Car List + Stats'!D564</f>
        <v>Impreza WRX STI</v>
      </c>
      <c r="D564" s="6" t="str">
        <f>'Detailed Car List + Stats'!E564</f>
        <v>Modern Rally</v>
      </c>
      <c r="E564" s="25" t="s">
        <v>1151</v>
      </c>
      <c r="F564" s="6" t="str">
        <f>'Detailed Car List + Stats'!G564</f>
        <v>Japan</v>
      </c>
      <c r="G564" s="19">
        <f>'Detailed Car List + Stats'!H564</f>
        <v>30000</v>
      </c>
      <c r="H564" s="20" t="s">
        <v>33</v>
      </c>
      <c r="I564" s="6" t="str">
        <f>'Detailed Car List + Stats'!T564</f>
        <v>Autoshow, Wheelspin</v>
      </c>
      <c r="J564" s="2" t="str">
        <f>'Detailed Car List + Stats'!U564</f>
        <v/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6.5" customHeight="1">
      <c r="A565" s="6" t="str">
        <f>'Detailed Car List + Stats'!B565</f>
        <v>2005</v>
      </c>
      <c r="B565" s="6" t="str">
        <f>'Detailed Car List + Stats'!C565</f>
        <v>Subaru</v>
      </c>
      <c r="C565" s="6" t="str">
        <f>'Detailed Car List + Stats'!D565</f>
        <v>Impreza WRX STI</v>
      </c>
      <c r="D565" s="6" t="str">
        <f>'Detailed Car List + Stats'!E565</f>
        <v>Modern Rally</v>
      </c>
      <c r="E565" s="25" t="s">
        <v>676</v>
      </c>
      <c r="F565" s="6" t="str">
        <f>'Detailed Car List + Stats'!G565</f>
        <v>Japan</v>
      </c>
      <c r="G565" s="19">
        <f>'Detailed Car List + Stats'!H565</f>
        <v>35000</v>
      </c>
      <c r="H565" s="20" t="s">
        <v>33</v>
      </c>
      <c r="I565" s="6" t="str">
        <f>'Detailed Car List + Stats'!T565</f>
        <v>Autoshow, Wheelspin</v>
      </c>
      <c r="J565" s="2" t="str">
        <f>'Detailed Car List + Stats'!U565</f>
        <v/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6.5" customHeight="1">
      <c r="A566" s="6" t="str">
        <f>'Detailed Car List + Stats'!B566</f>
        <v>2008</v>
      </c>
      <c r="B566" s="6" t="str">
        <f>'Detailed Car List + Stats'!C566</f>
        <v>Subaru</v>
      </c>
      <c r="C566" s="6" t="str">
        <f>'Detailed Car List + Stats'!D566</f>
        <v>Impreza WRX STI</v>
      </c>
      <c r="D566" s="6" t="str">
        <f>'Detailed Car List + Stats'!E566</f>
        <v>Modern Rally</v>
      </c>
      <c r="E566" s="25" t="s">
        <v>1089</v>
      </c>
      <c r="F566" s="6" t="str">
        <f>'Detailed Car List + Stats'!G566</f>
        <v>Japan</v>
      </c>
      <c r="G566" s="19">
        <f>'Detailed Car List + Stats'!H566</f>
        <v>27000</v>
      </c>
      <c r="H566" s="10" t="s">
        <v>27</v>
      </c>
      <c r="I566" s="6" t="str">
        <f>'Detailed Car List + Stats'!T566</f>
        <v>Autoshow, Wheelspin</v>
      </c>
      <c r="J566" s="2" t="str">
        <f>'Detailed Car List + Stats'!U566</f>
        <v/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6.5" customHeight="1">
      <c r="A567" s="6" t="str">
        <f>'Detailed Car List + Stats'!B567</f>
        <v>2005</v>
      </c>
      <c r="B567" s="6" t="str">
        <f>'Detailed Car List + Stats'!C567</f>
        <v>Subaru</v>
      </c>
      <c r="C567" s="6" t="str">
        <f>'Detailed Car List + Stats'!D567</f>
        <v>Legacy B4 2.0 GT</v>
      </c>
      <c r="D567" s="6" t="str">
        <f>'Detailed Car List + Stats'!E567</f>
        <v>Retro Super Saloons</v>
      </c>
      <c r="E567" s="25" t="s">
        <v>267</v>
      </c>
      <c r="F567" s="6" t="str">
        <f>'Detailed Car List + Stats'!G567</f>
        <v>Japan</v>
      </c>
      <c r="G567" s="19">
        <f>'Detailed Car List + Stats'!H567</f>
        <v>10000</v>
      </c>
      <c r="H567" s="20" t="s">
        <v>33</v>
      </c>
      <c r="I567" s="6" t="str">
        <f>'Detailed Car List + Stats'!T567</f>
        <v>Autoshow, Wheelspin</v>
      </c>
      <c r="J567" s="2" t="str">
        <f>'Detailed Car List + Stats'!U567</f>
        <v/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6.5" customHeight="1">
      <c r="A568" s="6" t="str">
        <f>'Detailed Car List + Stats'!B568</f>
        <v>1990</v>
      </c>
      <c r="B568" s="6" t="str">
        <f>'Detailed Car List + Stats'!C568</f>
        <v>Subaru</v>
      </c>
      <c r="C568" s="6" t="str">
        <f>'Detailed Car List + Stats'!D568</f>
        <v>Legacy RS</v>
      </c>
      <c r="D568" s="6" t="str">
        <f>'Detailed Car List + Stats'!E568</f>
        <v>Retro Rally</v>
      </c>
      <c r="E568" s="8" t="s">
        <v>1154</v>
      </c>
      <c r="F568" s="6" t="str">
        <f>'Detailed Car List + Stats'!G568</f>
        <v>Japan</v>
      </c>
      <c r="G568" s="19">
        <f>'Detailed Car List + Stats'!H568</f>
        <v>15000</v>
      </c>
      <c r="H568" s="20" t="s">
        <v>33</v>
      </c>
      <c r="I568" s="6" t="str">
        <f>'Detailed Car List + Stats'!T568</f>
        <v>Autoshow, Wheelspin</v>
      </c>
      <c r="J568" s="2" t="str">
        <f>'Detailed Car List + Stats'!U568</f>
        <v/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6.5" customHeight="1">
      <c r="A569" s="5" t="str">
        <f>'Detailed Car List + Stats'!B569</f>
        <v>2019</v>
      </c>
      <c r="B569" s="5" t="str">
        <f>'Detailed Car List + Stats'!C569</f>
        <v>Subaru</v>
      </c>
      <c r="C569" s="5" t="str">
        <f>'Detailed Car List + Stats'!D569</f>
        <v>STI S209</v>
      </c>
      <c r="D569" s="5" t="str">
        <f>'Detailed Car List + Stats'!E569</f>
        <v>Modern Rally</v>
      </c>
      <c r="E569" s="25" t="s">
        <v>946</v>
      </c>
      <c r="F569" s="5" t="str">
        <f>'Detailed Car List + Stats'!G569</f>
        <v>Japan</v>
      </c>
      <c r="G569" s="9">
        <f>'Detailed Car List + Stats'!H569</f>
        <v>250000</v>
      </c>
      <c r="H569" s="20" t="s">
        <v>33</v>
      </c>
      <c r="I569" s="5" t="str">
        <f>'Detailed Car List + Stats'!T569</f>
        <v>Seasonal</v>
      </c>
      <c r="J569" s="21" t="str">
        <f>'Detailed Car List + Stats'!U569</f>
        <v/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6.5" customHeight="1">
      <c r="A570" s="6" t="str">
        <f>'Detailed Car List + Stats'!B570</f>
        <v>1996</v>
      </c>
      <c r="B570" s="6" t="str">
        <f>'Detailed Car List + Stats'!C570</f>
        <v>Subaru</v>
      </c>
      <c r="C570" s="6" t="str">
        <f>'Detailed Car List + Stats'!D570</f>
        <v>SVX</v>
      </c>
      <c r="D570" s="6" t="str">
        <f>'Detailed Car List + Stats'!E570</f>
        <v>Retro Sports Cars</v>
      </c>
      <c r="E570" s="8" t="s">
        <v>1157</v>
      </c>
      <c r="F570" s="6" t="str">
        <f>'Detailed Car List + Stats'!G570</f>
        <v>Japan</v>
      </c>
      <c r="G570" s="19">
        <f>'Detailed Car List + Stats'!H570</f>
        <v>13000</v>
      </c>
      <c r="H570" s="20" t="s">
        <v>33</v>
      </c>
      <c r="I570" s="6" t="str">
        <f>'Detailed Car List + Stats'!T570</f>
        <v>Autoshow, Wheelspin</v>
      </c>
      <c r="J570" s="2" t="str">
        <f>'Detailed Car List + Stats'!U570</f>
        <v/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6.5" customHeight="1">
      <c r="A571" s="6" t="str">
        <f>'Detailed Car List + Stats'!B571</f>
        <v>1994</v>
      </c>
      <c r="B571" s="6" t="str">
        <f>'Detailed Car List + Stats'!C571</f>
        <v>Subaru</v>
      </c>
      <c r="C571" s="6" t="str">
        <f>'Detailed Car List + Stats'!D571</f>
        <v>Vivio RX-R</v>
      </c>
      <c r="D571" s="6" t="str">
        <f>'Detailed Car List + Stats'!E571</f>
        <v>Eclectic Domestics</v>
      </c>
      <c r="E571" s="17" t="s">
        <v>1159</v>
      </c>
      <c r="F571" s="6" t="str">
        <f>'Detailed Car List + Stats'!G571</f>
        <v>Japan</v>
      </c>
      <c r="G571" s="19">
        <f>'Detailed Car List + Stats'!H571</f>
        <v>10000</v>
      </c>
      <c r="H571" s="34" t="s">
        <v>62</v>
      </c>
      <c r="I571" s="6" t="str">
        <f>'Detailed Car List + Stats'!T571</f>
        <v>Autoshow, Wheelspin</v>
      </c>
      <c r="J571" s="2" t="str">
        <f>'Detailed Car List + Stats'!U571</f>
        <v/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6.5" customHeight="1">
      <c r="A572" s="5" t="str">
        <f>'Detailed Car List + Stats'!B572</f>
        <v>1994</v>
      </c>
      <c r="B572" s="5" t="str">
        <f>'Detailed Car List + Stats'!C572</f>
        <v>Subaru</v>
      </c>
      <c r="C572" s="5" t="str">
        <f>'Detailed Car List + Stats'!D572</f>
        <v>Vivio RX-R Forza Edition</v>
      </c>
      <c r="D572" s="5" t="str">
        <f>'Detailed Car List + Stats'!E572</f>
        <v>Extreme Track Toys</v>
      </c>
      <c r="E572" s="50" t="s">
        <v>488</v>
      </c>
      <c r="F572" s="5" t="str">
        <f>'Detailed Car List + Stats'!G572</f>
        <v>Japan</v>
      </c>
      <c r="G572" s="9" t="str">
        <f>'Detailed Car List + Stats'!H572</f>
        <v/>
      </c>
      <c r="H572" s="48"/>
      <c r="I572" s="5" t="str">
        <f>'Detailed Car List + Stats'!T572</f>
        <v>Collection Journal, Seasonal</v>
      </c>
      <c r="J572" s="21" t="str">
        <f>'Detailed Car List + Stats'!U572</f>
        <v/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6.5" customHeight="1">
      <c r="A573" s="6" t="str">
        <f>'Detailed Car List + Stats'!B573</f>
        <v>2022</v>
      </c>
      <c r="B573" s="6" t="str">
        <f>'Detailed Car List + Stats'!C573</f>
        <v>Subaru</v>
      </c>
      <c r="C573" s="6" t="str">
        <f>'Detailed Car List + Stats'!D573</f>
        <v>WRX</v>
      </c>
      <c r="D573" s="6" t="str">
        <f>'Detailed Car List + Stats'!E573</f>
        <v>Modern Rally</v>
      </c>
      <c r="E573" s="25" t="s">
        <v>1120</v>
      </c>
      <c r="F573" s="6" t="str">
        <f>'Detailed Car List + Stats'!G573</f>
        <v>Japan</v>
      </c>
      <c r="G573" s="19">
        <f>'Detailed Car List + Stats'!H573</f>
        <v>25000</v>
      </c>
      <c r="H573" s="34" t="s">
        <v>62</v>
      </c>
      <c r="I573" s="6" t="str">
        <f>'Detailed Car List + Stats'!T573</f>
        <v>Autoshow, Wheelspin</v>
      </c>
      <c r="J573" s="2" t="str">
        <f>'Detailed Car List + Stats'!U573</f>
        <v/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6.5" customHeight="1">
      <c r="A574" s="6" t="str">
        <f>'Detailed Car List + Stats'!B574</f>
        <v>2011</v>
      </c>
      <c r="B574" s="6" t="str">
        <f>'Detailed Car List + Stats'!C574</f>
        <v>Subaru</v>
      </c>
      <c r="C574" s="6" t="str">
        <f>'Detailed Car List + Stats'!D574</f>
        <v>WRX STI</v>
      </c>
      <c r="D574" s="6" t="str">
        <f>'Detailed Car List + Stats'!E574</f>
        <v>Modern Rally</v>
      </c>
      <c r="E574" s="25" t="s">
        <v>424</v>
      </c>
      <c r="F574" s="6" t="str">
        <f>'Detailed Car List + Stats'!G574</f>
        <v>Japan</v>
      </c>
      <c r="G574" s="19">
        <f>'Detailed Car List + Stats'!H574</f>
        <v>27000</v>
      </c>
      <c r="H574" s="10" t="s">
        <v>27</v>
      </c>
      <c r="I574" s="6" t="str">
        <f>'Detailed Car List + Stats'!T574</f>
        <v>Autoshow, Wheelspin</v>
      </c>
      <c r="J574" s="2" t="str">
        <f>'Detailed Car List + Stats'!U574</f>
        <v/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6.5" customHeight="1">
      <c r="A575" s="6" t="str">
        <f>'Detailed Car List + Stats'!B575</f>
        <v>2015</v>
      </c>
      <c r="B575" s="6" t="str">
        <f>'Detailed Car List + Stats'!C575</f>
        <v>Subaru</v>
      </c>
      <c r="C575" s="6" t="str">
        <f>'Detailed Car List + Stats'!D575</f>
        <v>WRX STI</v>
      </c>
      <c r="D575" s="6" t="str">
        <f>'Detailed Car List + Stats'!E575</f>
        <v>Modern Rally</v>
      </c>
      <c r="E575" s="25" t="s">
        <v>785</v>
      </c>
      <c r="F575" s="6" t="str">
        <f>'Detailed Car List + Stats'!G575</f>
        <v>Japan</v>
      </c>
      <c r="G575" s="19">
        <f>'Detailed Car List + Stats'!H575</f>
        <v>27000</v>
      </c>
      <c r="H575" s="20" t="s">
        <v>33</v>
      </c>
      <c r="I575" s="6" t="str">
        <f>'Detailed Car List + Stats'!T575</f>
        <v>Autoshow, Wheelspin</v>
      </c>
      <c r="J575" s="2" t="str">
        <f>'Detailed Car List + Stats'!U575</f>
        <v/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6.5" customHeight="1">
      <c r="A576" s="5" t="str">
        <f>'Detailed Car List + Stats'!B576</f>
        <v>2018</v>
      </c>
      <c r="B576" s="5" t="str">
        <f>'Detailed Car List + Stats'!C576</f>
        <v>Subaru</v>
      </c>
      <c r="C576" s="5" t="str">
        <f>'Detailed Car List + Stats'!D576</f>
        <v>WRX STI ARX Supercar</v>
      </c>
      <c r="D576" s="5" t="str">
        <f>'Detailed Car List + Stats'!E576</f>
        <v>Rally Monsters</v>
      </c>
      <c r="E576" s="32" t="s">
        <v>551</v>
      </c>
      <c r="F576" s="5" t="str">
        <f>'Detailed Car List + Stats'!G576</f>
        <v>Japan</v>
      </c>
      <c r="G576" s="9">
        <f>'Detailed Car List + Stats'!H576</f>
        <v>150000</v>
      </c>
      <c r="H576" s="34" t="s">
        <v>62</v>
      </c>
      <c r="I576" s="5" t="str">
        <f>'Detailed Car List + Stats'!T576</f>
        <v>Seasonal</v>
      </c>
      <c r="J576" s="21" t="str">
        <f>'Detailed Car List + Stats'!U576</f>
        <v/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6.5" customHeight="1">
      <c r="A577" s="6" t="str">
        <f>'Detailed Car List + Stats'!B577</f>
        <v>1993</v>
      </c>
      <c r="B577" s="6" t="str">
        <f>'Detailed Car List + Stats'!C577</f>
        <v>Toyota</v>
      </c>
      <c r="C577" s="6" t="str">
        <f>'Detailed Car List + Stats'!D577</f>
        <v>#1 T100 Baja Truck</v>
      </c>
      <c r="D577" s="6" t="str">
        <f>'Detailed Car List + Stats'!E577</f>
        <v>Unlimited Offroad</v>
      </c>
      <c r="E577" s="25" t="s">
        <v>1166</v>
      </c>
      <c r="F577" s="6" t="str">
        <f>'Detailed Car List + Stats'!G577</f>
        <v>Japan</v>
      </c>
      <c r="G577" s="19">
        <f>'Detailed Car List + Stats'!H577</f>
        <v>15000</v>
      </c>
      <c r="H577" s="10" t="s">
        <v>27</v>
      </c>
      <c r="I577" s="6" t="str">
        <f>'Detailed Car List + Stats'!T577</f>
        <v>Autoshow, Wheelspin</v>
      </c>
      <c r="J577" s="2" t="str">
        <f>'Detailed Car List + Stats'!U577</f>
        <v/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6.5" customHeight="1">
      <c r="A578" s="5" t="str">
        <f>'Detailed Car List + Stats'!B578</f>
        <v>1969</v>
      </c>
      <c r="B578" s="5" t="str">
        <f>'Detailed Car List + Stats'!C578</f>
        <v>Toyota</v>
      </c>
      <c r="C578" s="5" t="str">
        <f>'Detailed Car List + Stats'!D578</f>
        <v>2000GT</v>
      </c>
      <c r="D578" s="5" t="str">
        <f>'Detailed Car List + Stats'!E578</f>
        <v>Rare Classics</v>
      </c>
      <c r="E578" s="17" t="s">
        <v>1168</v>
      </c>
      <c r="F578" s="5" t="str">
        <f>'Detailed Car List + Stats'!G578</f>
        <v>Japan</v>
      </c>
      <c r="G578" s="9">
        <f>'Detailed Car List + Stats'!H578</f>
        <v>400000</v>
      </c>
      <c r="H578" s="35" t="s">
        <v>76</v>
      </c>
      <c r="I578" s="5" t="str">
        <f>'Detailed Car List + Stats'!T578</f>
        <v>Collection Journal</v>
      </c>
      <c r="J578" s="21" t="str">
        <f>'Detailed Car List + Stats'!U578</f>
        <v/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6.5" customHeight="1">
      <c r="A579" s="6" t="str">
        <f>'Detailed Car List + Stats'!B579</f>
        <v>2019</v>
      </c>
      <c r="B579" s="6" t="str">
        <f>'Detailed Car List + Stats'!C579</f>
        <v>Toyota</v>
      </c>
      <c r="C579" s="6" t="str">
        <f>'Detailed Car List + Stats'!D579</f>
        <v>4Runner TRD Pro</v>
      </c>
      <c r="D579" s="6" t="str">
        <f>'Detailed Car List + Stats'!E579</f>
        <v>Pickups &amp; 4x4s</v>
      </c>
      <c r="E579" s="8" t="s">
        <v>1170</v>
      </c>
      <c r="F579" s="6" t="str">
        <f>'Detailed Car List + Stats'!G579</f>
        <v>Japan</v>
      </c>
      <c r="G579" s="52">
        <f>'Detailed Car List + Stats'!H579</f>
        <v>1000000</v>
      </c>
      <c r="H579" s="35" t="s">
        <v>678</v>
      </c>
      <c r="I579" s="6" t="str">
        <f>'Detailed Car List + Stats'!T579</f>
        <v>Autoshow, Wheelspin</v>
      </c>
      <c r="J579" s="2" t="str">
        <f>'Detailed Car List + Stats'!U579</f>
        <v/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6.5" customHeight="1">
      <c r="A580" s="6" t="str">
        <f>'Detailed Car List + Stats'!B580</f>
        <v>2013</v>
      </c>
      <c r="B580" s="6" t="str">
        <f>'Detailed Car List + Stats'!C580</f>
        <v>Toyota</v>
      </c>
      <c r="C580" s="6" t="str">
        <f>'Detailed Car List + Stats'!D580</f>
        <v>86</v>
      </c>
      <c r="D580" s="6" t="str">
        <f>'Detailed Car List + Stats'!E580</f>
        <v>Modern Sports Cars</v>
      </c>
      <c r="E580" s="8" t="s">
        <v>895</v>
      </c>
      <c r="F580" s="6" t="str">
        <f>'Detailed Car List + Stats'!G580</f>
        <v>Japan</v>
      </c>
      <c r="G580" s="19">
        <f>'Detailed Car List + Stats'!H580</f>
        <v>42000</v>
      </c>
      <c r="H580" s="10" t="s">
        <v>27</v>
      </c>
      <c r="I580" s="6" t="str">
        <f>'Detailed Car List + Stats'!T580</f>
        <v>Autoshow, Wheelspin</v>
      </c>
      <c r="J580" s="2" t="str">
        <f>'Detailed Car List + Stats'!U580</f>
        <v/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6.5" customHeight="1">
      <c r="A581" s="5" t="str">
        <f>'Detailed Car List + Stats'!B581</f>
        <v>2013</v>
      </c>
      <c r="B581" s="5" t="str">
        <f>'Detailed Car List + Stats'!C581</f>
        <v>Toyota</v>
      </c>
      <c r="C581" s="5" t="str">
        <f>'Detailed Car List + Stats'!D581</f>
        <v>86 Stories</v>
      </c>
      <c r="D581" s="5" t="str">
        <f>'Detailed Car List + Stats'!E581</f>
        <v>Track Toys</v>
      </c>
      <c r="E581" s="36" t="s">
        <v>760</v>
      </c>
      <c r="F581" s="5" t="str">
        <f>'Detailed Car List + Stats'!G581</f>
        <v>Japan</v>
      </c>
      <c r="G581" s="9" t="str">
        <f>'Detailed Car List + Stats'!H581</f>
        <v/>
      </c>
      <c r="H581" s="48"/>
      <c r="I581" s="5" t="str">
        <f>'Detailed Car List + Stats'!T581</f>
        <v>Collection Journal, Seasonal</v>
      </c>
      <c r="J581" s="21" t="str">
        <f>'Detailed Car List + Stats'!U581</f>
        <v/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6.5" customHeight="1">
      <c r="A582" s="5" t="str">
        <f>'Detailed Car List + Stats'!B582</f>
        <v>1999</v>
      </c>
      <c r="B582" s="5" t="str">
        <f>'Detailed Car List + Stats'!C582</f>
        <v>Toyota</v>
      </c>
      <c r="C582" s="5" t="str">
        <f>'Detailed Car List + Stats'!D582</f>
        <v>Altezza RS200 Z EDITION</v>
      </c>
      <c r="D582" s="5" t="str">
        <f>'Detailed Car List + Stats'!E582</f>
        <v>Retro Super Saloons</v>
      </c>
      <c r="E582" s="8" t="s">
        <v>1174</v>
      </c>
      <c r="F582" s="5" t="str">
        <f>'Detailed Car List + Stats'!G582</f>
        <v>Japan</v>
      </c>
      <c r="G582" s="9">
        <f>'Detailed Car List + Stats'!H582</f>
        <v>250000</v>
      </c>
      <c r="H582" s="10" t="s">
        <v>27</v>
      </c>
      <c r="I582" s="5" t="str">
        <f>'Detailed Car List + Stats'!T582</f>
        <v>Seasonal</v>
      </c>
      <c r="J582" s="21" t="str">
        <f>'Detailed Car List + Stats'!U582</f>
        <v/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6.5" customHeight="1">
      <c r="A583" s="6" t="str">
        <f>'Detailed Car List + Stats'!B583</f>
        <v>2023</v>
      </c>
      <c r="B583" s="6" t="str">
        <f>'Detailed Car List + Stats'!C583</f>
        <v>Toyota</v>
      </c>
      <c r="C583" s="6" t="str">
        <f>'Detailed Car List + Stats'!D583</f>
        <v>Camry TRD</v>
      </c>
      <c r="D583" s="6" t="str">
        <f>'Detailed Car List + Stats'!E583</f>
        <v>Modern Super Saloons</v>
      </c>
      <c r="E583" s="25" t="s">
        <v>1176</v>
      </c>
      <c r="F583" s="6" t="str">
        <f>'Detailed Car List + Stats'!G583</f>
        <v>Japan</v>
      </c>
      <c r="G583" s="19">
        <f>'Detailed Car List + Stats'!H583</f>
        <v>31000</v>
      </c>
      <c r="H583" s="34" t="s">
        <v>62</v>
      </c>
      <c r="I583" s="6" t="str">
        <f>'Detailed Car List + Stats'!T583</f>
        <v>Autoshow</v>
      </c>
      <c r="J583" s="2" t="str">
        <f>'Detailed Car List + Stats'!U583</f>
        <v/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6.5" customHeight="1">
      <c r="A584" s="5" t="str">
        <f>'Detailed Car List + Stats'!B584</f>
        <v>1974</v>
      </c>
      <c r="B584" s="5" t="str">
        <f>'Detailed Car List + Stats'!C584</f>
        <v>Toyota</v>
      </c>
      <c r="C584" s="5" t="str">
        <f>'Detailed Car List + Stats'!D584</f>
        <v>Celica GT</v>
      </c>
      <c r="D584" s="5" t="str">
        <f>'Detailed Car List + Stats'!E584</f>
        <v>Classic Sports Cars</v>
      </c>
      <c r="E584" s="17" t="s">
        <v>1178</v>
      </c>
      <c r="F584" s="5" t="str">
        <f>'Detailed Car List + Stats'!G584</f>
        <v>Japan</v>
      </c>
      <c r="G584" s="9" t="str">
        <f>'Detailed Car List + Stats'!H584</f>
        <v/>
      </c>
      <c r="H584" s="19"/>
      <c r="I584" s="5" t="str">
        <f>'Detailed Car List + Stats'!T584</f>
        <v>Seasonal</v>
      </c>
      <c r="J584" s="21" t="str">
        <f>'Detailed Car List + Stats'!U584</f>
        <v/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6.5" customHeight="1">
      <c r="A585" s="6" t="str">
        <f>'Detailed Car List + Stats'!B585</f>
        <v>1992</v>
      </c>
      <c r="B585" s="6" t="str">
        <f>'Detailed Car List + Stats'!C585</f>
        <v>Toyota</v>
      </c>
      <c r="C585" s="6" t="str">
        <f>'Detailed Car List + Stats'!D585</f>
        <v>Celica GT-Four RC ST185</v>
      </c>
      <c r="D585" s="6" t="str">
        <f>'Detailed Car List + Stats'!E585</f>
        <v>Retro Rally</v>
      </c>
      <c r="E585" s="8" t="s">
        <v>1180</v>
      </c>
      <c r="F585" s="6" t="str">
        <f>'Detailed Car List + Stats'!G585</f>
        <v>Japan</v>
      </c>
      <c r="G585" s="19">
        <f>'Detailed Car List + Stats'!H585</f>
        <v>30000</v>
      </c>
      <c r="H585" s="10" t="s">
        <v>27</v>
      </c>
      <c r="I585" s="6" t="str">
        <f>'Detailed Car List + Stats'!T585</f>
        <v>Autoshow</v>
      </c>
      <c r="J585" s="2" t="str">
        <f>'Detailed Car List + Stats'!U585</f>
        <v/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6.5" customHeight="1">
      <c r="A586" s="6" t="str">
        <f>'Detailed Car List + Stats'!B586</f>
        <v>1994</v>
      </c>
      <c r="B586" s="6" t="str">
        <f>'Detailed Car List + Stats'!C586</f>
        <v>Toyota</v>
      </c>
      <c r="C586" s="6" t="str">
        <f>'Detailed Car List + Stats'!D586</f>
        <v>Celica GT-Four ST205</v>
      </c>
      <c r="D586" s="6" t="str">
        <f>'Detailed Car List + Stats'!E586</f>
        <v>Retro Rally</v>
      </c>
      <c r="E586" s="8" t="s">
        <v>414</v>
      </c>
      <c r="F586" s="6" t="str">
        <f>'Detailed Car List + Stats'!G586</f>
        <v>Japan</v>
      </c>
      <c r="G586" s="19">
        <f>'Detailed Car List + Stats'!H586</f>
        <v>27000</v>
      </c>
      <c r="H586" s="20" t="s">
        <v>33</v>
      </c>
      <c r="I586" s="6" t="str">
        <f>'Detailed Car List + Stats'!T586</f>
        <v>Autoshow, Wheelspin</v>
      </c>
      <c r="J586" s="2" t="str">
        <f>'Detailed Car List + Stats'!U586</f>
        <v/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6.5" customHeight="1">
      <c r="A587" s="6" t="str">
        <f>'Detailed Car List + Stats'!B587</f>
        <v>2003</v>
      </c>
      <c r="B587" s="6" t="str">
        <f>'Detailed Car List + Stats'!C587</f>
        <v>Toyota</v>
      </c>
      <c r="C587" s="6" t="str">
        <f>'Detailed Car List + Stats'!D587</f>
        <v>Celica Sport Specialty II</v>
      </c>
      <c r="D587" s="6" t="str">
        <f>'Detailed Car List + Stats'!E587</f>
        <v>Retro Sports Cars</v>
      </c>
      <c r="E587" s="8" t="s">
        <v>1183</v>
      </c>
      <c r="F587" s="6" t="str">
        <f>'Detailed Car List + Stats'!G587</f>
        <v>Japan</v>
      </c>
      <c r="G587" s="19">
        <f>'Detailed Car List + Stats'!H587</f>
        <v>12000</v>
      </c>
      <c r="H587" s="10" t="s">
        <v>27</v>
      </c>
      <c r="I587" s="6" t="str">
        <f>'Detailed Car List + Stats'!T587</f>
        <v>Autoshow, Wheelspin</v>
      </c>
      <c r="J587" s="2" t="str">
        <f>'Detailed Car List + Stats'!U587</f>
        <v/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6.5" customHeight="1">
      <c r="A588" s="6" t="str">
        <f>'Detailed Car List + Stats'!B588</f>
        <v>1997</v>
      </c>
      <c r="B588" s="6" t="str">
        <f>'Detailed Car List + Stats'!C588</f>
        <v>Toyota</v>
      </c>
      <c r="C588" s="6" t="str">
        <f>'Detailed Car List + Stats'!D588</f>
        <v>Chaser 2.5 Tourer V</v>
      </c>
      <c r="D588" s="6" t="str">
        <f>'Detailed Car List + Stats'!E588</f>
        <v>Retro Super Saloons</v>
      </c>
      <c r="E588" s="25" t="s">
        <v>1185</v>
      </c>
      <c r="F588" s="6" t="str">
        <f>'Detailed Car List + Stats'!G588</f>
        <v>Japan</v>
      </c>
      <c r="G588" s="19">
        <f>'Detailed Car List + Stats'!H588</f>
        <v>15500</v>
      </c>
      <c r="H588" s="10" t="s">
        <v>27</v>
      </c>
      <c r="I588" s="6" t="str">
        <f>'Detailed Car List + Stats'!T588</f>
        <v>Autoshow, Collection Journal</v>
      </c>
      <c r="J588" s="2" t="str">
        <f>'Detailed Car List + Stats'!U588</f>
        <v/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6.5" customHeight="1">
      <c r="A589" s="6" t="str">
        <f>'Detailed Car List + Stats'!B589</f>
        <v>1991</v>
      </c>
      <c r="B589" s="6" t="str">
        <f>'Detailed Car List + Stats'!C589</f>
        <v>Toyota</v>
      </c>
      <c r="C589" s="6" t="str">
        <f>'Detailed Car List + Stats'!D589</f>
        <v>Chaser GT Twin Turbo</v>
      </c>
      <c r="D589" s="6" t="str">
        <f>'Detailed Car List + Stats'!E589</f>
        <v>Retro Super Saloons</v>
      </c>
      <c r="E589" s="8" t="s">
        <v>51</v>
      </c>
      <c r="F589" s="6" t="str">
        <f>'Detailed Car List + Stats'!G589</f>
        <v>Japan</v>
      </c>
      <c r="G589" s="19">
        <f>'Detailed Car List + Stats'!H589</f>
        <v>20000</v>
      </c>
      <c r="H589" s="10" t="s">
        <v>27</v>
      </c>
      <c r="I589" s="6" t="str">
        <f>'Detailed Car List + Stats'!T589</f>
        <v>Autoshow, Wheelspin</v>
      </c>
      <c r="J589" s="2" t="str">
        <f>'Detailed Car List + Stats'!U589</f>
        <v/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6.5" customHeight="1">
      <c r="A590" s="5" t="str">
        <f>'Detailed Car List + Stats'!B590</f>
        <v>1974</v>
      </c>
      <c r="B590" s="5" t="str">
        <f>'Detailed Car List + Stats'!C590</f>
        <v>Toyota</v>
      </c>
      <c r="C590" s="5" t="str">
        <f>'Detailed Car List + Stats'!D590</f>
        <v>Corolla SR5</v>
      </c>
      <c r="D590" s="5" t="str">
        <f>'Detailed Car List + Stats'!E590</f>
        <v>Classic Sports Cars</v>
      </c>
      <c r="E590" s="17" t="s">
        <v>1188</v>
      </c>
      <c r="F590" s="5" t="str">
        <f>'Detailed Car List + Stats'!G590</f>
        <v>Japan</v>
      </c>
      <c r="G590" s="9" t="str">
        <f>'Detailed Car List + Stats'!H590</f>
        <v/>
      </c>
      <c r="H590" s="48"/>
      <c r="I590" s="5" t="str">
        <f>'Detailed Car List + Stats'!T590</f>
        <v>Seasonal</v>
      </c>
      <c r="J590" s="21" t="str">
        <f>'Detailed Car List + Stats'!U590</f>
        <v/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6.5" customHeight="1">
      <c r="A591" s="6" t="str">
        <f>'Detailed Car List + Stats'!B591</f>
        <v>2005</v>
      </c>
      <c r="B591" s="6" t="str">
        <f>'Detailed Car List + Stats'!C591</f>
        <v>Toyota</v>
      </c>
      <c r="C591" s="6" t="str">
        <f>'Detailed Car List + Stats'!D591</f>
        <v>Crown Super Deluxe Taxi</v>
      </c>
      <c r="D591" s="6" t="str">
        <f>'Detailed Car List + Stats'!E591</f>
        <v>Retro Super Saloons</v>
      </c>
      <c r="E591" s="17" t="s">
        <v>1190</v>
      </c>
      <c r="F591" s="6" t="str">
        <f>'Detailed Car List + Stats'!G591</f>
        <v>Japan</v>
      </c>
      <c r="G591" s="19">
        <f>'Detailed Car List + Stats'!H591</f>
        <v>10000</v>
      </c>
      <c r="H591" s="20" t="s">
        <v>33</v>
      </c>
      <c r="I591" s="6" t="str">
        <f>'Detailed Car List + Stats'!T591</f>
        <v>Autoshow, Wheelspin</v>
      </c>
      <c r="J591" s="2" t="str">
        <f>'Detailed Car List + Stats'!U591</f>
        <v/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6.5" customHeight="1">
      <c r="A592" s="6" t="str">
        <f>'Detailed Car List + Stats'!B592</f>
        <v>1979</v>
      </c>
      <c r="B592" s="6" t="str">
        <f>'Detailed Car List + Stats'!C592</f>
        <v>Toyota</v>
      </c>
      <c r="C592" s="6" t="str">
        <f>'Detailed Car List + Stats'!D592</f>
        <v>FJ40</v>
      </c>
      <c r="D592" s="6" t="str">
        <f>'Detailed Car List + Stats'!E592</f>
        <v>Pickups &amp; 4x4s</v>
      </c>
      <c r="E592" s="17" t="s">
        <v>993</v>
      </c>
      <c r="F592" s="6" t="str">
        <f>'Detailed Car List + Stats'!G592</f>
        <v>Japan</v>
      </c>
      <c r="G592" s="19">
        <f>'Detailed Car List + Stats'!H592</f>
        <v>103000</v>
      </c>
      <c r="H592" s="20" t="s">
        <v>33</v>
      </c>
      <c r="I592" s="6" t="str">
        <f>'Detailed Car List + Stats'!T592</f>
        <v>Autoshow, Wheelspin</v>
      </c>
      <c r="J592" s="2" t="str">
        <f>'Detailed Car List + Stats'!U592</f>
        <v/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6.5" customHeight="1">
      <c r="A593" s="37" t="str">
        <f>'Detailed Car List + Stats'!B593</f>
        <v>2023</v>
      </c>
      <c r="B593" s="37" t="str">
        <f>'Detailed Car List + Stats'!C593</f>
        <v>Toyota</v>
      </c>
      <c r="C593" s="37" t="str">
        <f>'Detailed Car List + Stats'!D593</f>
        <v>GR Corolla</v>
      </c>
      <c r="D593" s="37" t="str">
        <f>'Detailed Car List + Stats'!E593</f>
        <v>Super Hot Hatch</v>
      </c>
      <c r="E593" s="25" t="s">
        <v>1193</v>
      </c>
      <c r="F593" s="37" t="str">
        <f>'Detailed Car List + Stats'!G593</f>
        <v>Japan</v>
      </c>
      <c r="G593" s="38">
        <f>'Detailed Car List + Stats'!H593</f>
        <v>45000</v>
      </c>
      <c r="H593" s="10" t="s">
        <v>27</v>
      </c>
      <c r="I593" s="37" t="str">
        <f>'Detailed Car List + Stats'!T593</f>
        <v>Autoshow DLC</v>
      </c>
      <c r="J593" s="37" t="str">
        <f>'Detailed Car List + Stats'!U593</f>
        <v>Car Pass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6.5" customHeight="1">
      <c r="A594" s="6" t="str">
        <f>'Detailed Car List + Stats'!B594</f>
        <v>2020</v>
      </c>
      <c r="B594" s="6" t="str">
        <f>'Detailed Car List + Stats'!C594</f>
        <v>Toyota</v>
      </c>
      <c r="C594" s="6" t="str">
        <f>'Detailed Car List + Stats'!D594</f>
        <v>GR Supra</v>
      </c>
      <c r="D594" s="6" t="str">
        <f>'Detailed Car List + Stats'!E594</f>
        <v>Modern Sports Cars</v>
      </c>
      <c r="E594" s="36" t="s">
        <v>1195</v>
      </c>
      <c r="F594" s="6" t="str">
        <f>'Detailed Car List + Stats'!G594</f>
        <v>Japan</v>
      </c>
      <c r="G594" s="19">
        <f>'Detailed Car List + Stats'!H594</f>
        <v>45000</v>
      </c>
      <c r="H594" s="10" t="s">
        <v>27</v>
      </c>
      <c r="I594" s="6" t="str">
        <f>'Detailed Car List + Stats'!T594</f>
        <v>Autoshow, Collection Journal, Wheelspin</v>
      </c>
      <c r="J594" s="2" t="str">
        <f>'Detailed Car List + Stats'!U594</f>
        <v/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6.5" customHeight="1">
      <c r="A595" s="6" t="str">
        <f>'Detailed Car List + Stats'!B595</f>
        <v>2021</v>
      </c>
      <c r="B595" s="6" t="str">
        <f>'Detailed Car List + Stats'!C595</f>
        <v>Toyota</v>
      </c>
      <c r="C595" s="6" t="str">
        <f>'Detailed Car List + Stats'!D595</f>
        <v>GR Yaris</v>
      </c>
      <c r="D595" s="6" t="str">
        <f>'Detailed Car List + Stats'!E595</f>
        <v>Modern Rally</v>
      </c>
      <c r="E595" s="25" t="s">
        <v>1197</v>
      </c>
      <c r="F595" s="6" t="str">
        <f>'Detailed Car List + Stats'!G595</f>
        <v>Japan</v>
      </c>
      <c r="G595" s="19">
        <f>'Detailed Car List + Stats'!H595</f>
        <v>54000</v>
      </c>
      <c r="H595" s="34" t="s">
        <v>62</v>
      </c>
      <c r="I595" s="6" t="str">
        <f>'Detailed Car List + Stats'!T595</f>
        <v>Autoshow, Wheelspin</v>
      </c>
      <c r="J595" s="2" t="str">
        <f>'Detailed Car List + Stats'!U595</f>
        <v/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6.5" customHeight="1">
      <c r="A596" s="6" t="str">
        <f>'Detailed Car List + Stats'!B596</f>
        <v>2022</v>
      </c>
      <c r="B596" s="6" t="str">
        <f>'Detailed Car List + Stats'!C596</f>
        <v>Toyota</v>
      </c>
      <c r="C596" s="6" t="str">
        <f>'Detailed Car List + Stats'!D596</f>
        <v>GR86</v>
      </c>
      <c r="D596" s="6" t="str">
        <f>'Detailed Car List + Stats'!E596</f>
        <v>Modern Sports Cars</v>
      </c>
      <c r="E596" s="25" t="s">
        <v>201</v>
      </c>
      <c r="F596" s="6" t="str">
        <f>'Detailed Car List + Stats'!G596</f>
        <v>Japan</v>
      </c>
      <c r="G596" s="19">
        <f>'Detailed Car List + Stats'!H596</f>
        <v>28000</v>
      </c>
      <c r="H596" s="20" t="s">
        <v>33</v>
      </c>
      <c r="I596" s="6" t="str">
        <f>'Detailed Car List + Stats'!T596</f>
        <v>Autoshow, Wheelspin</v>
      </c>
      <c r="J596" s="2" t="str">
        <f>'Detailed Car List + Stats'!U596</f>
        <v/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6.5" customHeight="1">
      <c r="A597" s="37" t="str">
        <f>'Detailed Car List + Stats'!B597</f>
        <v>1995</v>
      </c>
      <c r="B597" s="37" t="str">
        <f>'Detailed Car List + Stats'!C597</f>
        <v>Toyota</v>
      </c>
      <c r="C597" s="37" t="str">
        <f>'Detailed Car List + Stats'!D597</f>
        <v>J&amp;J Motorsport Supra WTAC</v>
      </c>
      <c r="D597" s="37" t="str">
        <f>'Detailed Car List + Stats'!E597</f>
        <v>Extreme Track Toys</v>
      </c>
      <c r="E597" s="50" t="s">
        <v>1200</v>
      </c>
      <c r="F597" s="37" t="str">
        <f>'Detailed Car List + Stats'!G597</f>
        <v>Japan</v>
      </c>
      <c r="G597" s="38">
        <f>'Detailed Car List + Stats'!H597</f>
        <v>420000</v>
      </c>
      <c r="H597" s="34" t="s">
        <v>62</v>
      </c>
      <c r="I597" s="37" t="str">
        <f>'Detailed Car List + Stats'!T597</f>
        <v>Autoshow DLC</v>
      </c>
      <c r="J597" s="37" t="str">
        <f>'Detailed Car List + Stats'!U597</f>
        <v>Time Attack Car Pack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6.5" customHeight="1">
      <c r="A598" s="6" t="str">
        <f>'Detailed Car List + Stats'!B598</f>
        <v>2017</v>
      </c>
      <c r="B598" s="6" t="str">
        <f>'Detailed Car List + Stats'!C598</f>
        <v>Toyota</v>
      </c>
      <c r="C598" s="6" t="str">
        <f>'Detailed Car List + Stats'!D598</f>
        <v>JPN Taxi</v>
      </c>
      <c r="D598" s="6" t="str">
        <f>'Detailed Car List + Stats'!E598</f>
        <v>Eclectic Domestics</v>
      </c>
      <c r="E598" s="17" t="s">
        <v>1202</v>
      </c>
      <c r="F598" s="6" t="str">
        <f>'Detailed Car List + Stats'!G598</f>
        <v>Japan</v>
      </c>
      <c r="G598" s="19">
        <f>'Detailed Car List + Stats'!H598</f>
        <v>25000</v>
      </c>
      <c r="H598" s="20" t="s">
        <v>33</v>
      </c>
      <c r="I598" s="6" t="str">
        <f>'Detailed Car List + Stats'!T598</f>
        <v>Autoshow, Wheelspin</v>
      </c>
      <c r="J598" s="2" t="str">
        <f>'Detailed Car List + Stats'!U598</f>
        <v/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6.5" customHeight="1">
      <c r="A599" s="6" t="str">
        <f>'Detailed Car List + Stats'!B599</f>
        <v>2025</v>
      </c>
      <c r="B599" s="6" t="str">
        <f>'Detailed Car List + Stats'!C599</f>
        <v>Toyota</v>
      </c>
      <c r="C599" s="6" t="str">
        <f>'Detailed Car List + Stats'!D599</f>
        <v>Land Cruiser</v>
      </c>
      <c r="D599" s="6" t="str">
        <f>'Detailed Car List + Stats'!E599</f>
        <v>Sports Utility Heroes</v>
      </c>
      <c r="E599" s="8" t="s">
        <v>530</v>
      </c>
      <c r="F599" s="6" t="str">
        <f>'Detailed Car List + Stats'!G599</f>
        <v>Japan</v>
      </c>
      <c r="G599" s="19">
        <f>'Detailed Car List + Stats'!H599</f>
        <v>70000</v>
      </c>
      <c r="H599" s="10" t="s">
        <v>27</v>
      </c>
      <c r="I599" s="6" t="str">
        <f>'Detailed Car List + Stats'!T599</f>
        <v>Autoshow, Wheelspin</v>
      </c>
      <c r="J599" s="2" t="str">
        <f>'Detailed Car List + Stats'!U599</f>
        <v/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6.5" customHeight="1">
      <c r="A600" s="5" t="str">
        <f>'Detailed Car List + Stats'!B600</f>
        <v>2016</v>
      </c>
      <c r="B600" s="5" t="str">
        <f>'Detailed Car List + Stats'!C600</f>
        <v>Toyota</v>
      </c>
      <c r="C600" s="5" t="str">
        <f>'Detailed Car List + Stats'!D600</f>
        <v>Land Cruiser Arctic Trucks AT37</v>
      </c>
      <c r="D600" s="5" t="str">
        <f>'Detailed Car List + Stats'!E600</f>
        <v>Pickups &amp; 4x4s</v>
      </c>
      <c r="E600" s="17" t="s">
        <v>584</v>
      </c>
      <c r="F600" s="5" t="str">
        <f>'Detailed Car List + Stats'!G600</f>
        <v>Japan</v>
      </c>
      <c r="G600" s="9">
        <f>'Detailed Car List + Stats'!H600</f>
        <v>250000</v>
      </c>
      <c r="H600" s="10" t="s">
        <v>27</v>
      </c>
      <c r="I600" s="5" t="str">
        <f>'Detailed Car List + Stats'!T600</f>
        <v>Seasonal</v>
      </c>
      <c r="J600" s="21" t="str">
        <f>'Detailed Car List + Stats'!U600</f>
        <v/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6.5" customHeight="1">
      <c r="A601" s="6" t="str">
        <f>'Detailed Car List + Stats'!B601</f>
        <v>1995</v>
      </c>
      <c r="B601" s="6" t="str">
        <f>'Detailed Car List + Stats'!C601</f>
        <v>Toyota</v>
      </c>
      <c r="C601" s="6" t="str">
        <f>'Detailed Car List + Stats'!D601</f>
        <v>MR2 GT</v>
      </c>
      <c r="D601" s="6" t="str">
        <f>'Detailed Car List + Stats'!E601</f>
        <v>Retro Sports Cars</v>
      </c>
      <c r="E601" s="25" t="s">
        <v>1206</v>
      </c>
      <c r="F601" s="6" t="str">
        <f>'Detailed Car List + Stats'!G601</f>
        <v>Japan</v>
      </c>
      <c r="G601" s="19">
        <f>'Detailed Car List + Stats'!H601</f>
        <v>28000</v>
      </c>
      <c r="H601" s="10" t="s">
        <v>27</v>
      </c>
      <c r="I601" s="6" t="str">
        <f>'Detailed Car List + Stats'!T601</f>
        <v>Autoshow, Wheelspin</v>
      </c>
      <c r="J601" s="2" t="str">
        <f>'Detailed Car List + Stats'!U601</f>
        <v/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6.5" customHeight="1">
      <c r="A602" s="5" t="str">
        <f>'Detailed Car List + Stats'!B602</f>
        <v>1989</v>
      </c>
      <c r="B602" s="5" t="str">
        <f>'Detailed Car List + Stats'!C602</f>
        <v>Toyota</v>
      </c>
      <c r="C602" s="5" t="str">
        <f>'Detailed Car List + Stats'!D602</f>
        <v>MR2 SC</v>
      </c>
      <c r="D602" s="5" t="str">
        <f>'Detailed Car List + Stats'!E602</f>
        <v>Retro Sports Cars</v>
      </c>
      <c r="E602" s="17" t="s">
        <v>1208</v>
      </c>
      <c r="F602" s="5" t="str">
        <f>'Detailed Car List + Stats'!G602</f>
        <v>Japan</v>
      </c>
      <c r="G602" s="9">
        <f>'Detailed Car List + Stats'!H602</f>
        <v>250000</v>
      </c>
      <c r="H602" s="34" t="s">
        <v>62</v>
      </c>
      <c r="I602" s="5" t="str">
        <f>'Detailed Car List + Stats'!T602</f>
        <v>Seasonal</v>
      </c>
      <c r="J602" s="21" t="str">
        <f>'Detailed Car List + Stats'!U602</f>
        <v/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6.5" customHeight="1">
      <c r="A603" s="37" t="str">
        <f>'Detailed Car List + Stats'!B603</f>
        <v>2024</v>
      </c>
      <c r="B603" s="37" t="str">
        <f>'Detailed Car List + Stats'!C603</f>
        <v>Toyota</v>
      </c>
      <c r="C603" s="37" t="str">
        <f>'Detailed Car List + Stats'!D603</f>
        <v>Prius Prime XSE Premium</v>
      </c>
      <c r="D603" s="37" t="str">
        <f>'Detailed Car List + Stats'!E603</f>
        <v>Hot Hatch</v>
      </c>
      <c r="E603" s="8" t="s">
        <v>1210</v>
      </c>
      <c r="F603" s="37" t="str">
        <f>'Detailed Car List + Stats'!G603</f>
        <v>Japan</v>
      </c>
      <c r="G603" s="38">
        <f>'Detailed Car List + Stats'!H603</f>
        <v>40000</v>
      </c>
      <c r="H603" s="20" t="s">
        <v>33</v>
      </c>
      <c r="I603" s="37" t="str">
        <f>'Detailed Car List + Stats'!T603</f>
        <v>Autoshow DLC</v>
      </c>
      <c r="J603" s="37" t="str">
        <f>'Detailed Car List + Stats'!U603</f>
        <v>Car Pass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6.5" customHeight="1">
      <c r="A604" s="6" t="str">
        <f>'Detailed Car List + Stats'!B604</f>
        <v>1991</v>
      </c>
      <c r="B604" s="6" t="str">
        <f>'Detailed Car List + Stats'!C604</f>
        <v>Toyota</v>
      </c>
      <c r="C604" s="6" t="str">
        <f>'Detailed Car List + Stats'!D604</f>
        <v>Sera</v>
      </c>
      <c r="D604" s="6" t="str">
        <f>'Detailed Car List + Stats'!E604</f>
        <v>Eclectic Domestics</v>
      </c>
      <c r="E604" s="17" t="s">
        <v>1212</v>
      </c>
      <c r="F604" s="6" t="str">
        <f>'Detailed Car List + Stats'!G604</f>
        <v>Japan</v>
      </c>
      <c r="G604" s="19">
        <f>'Detailed Car List + Stats'!H604</f>
        <v>11000</v>
      </c>
      <c r="H604" s="10" t="s">
        <v>27</v>
      </c>
      <c r="I604" s="6" t="str">
        <f>'Detailed Car List + Stats'!T604</f>
        <v>Autoshow, Wheelspin</v>
      </c>
      <c r="J604" s="2" t="str">
        <f>'Detailed Car List + Stats'!U604</f>
        <v/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6.5" customHeight="1">
      <c r="A605" s="6" t="str">
        <f>'Detailed Car List + Stats'!B605</f>
        <v>1997</v>
      </c>
      <c r="B605" s="6" t="str">
        <f>'Detailed Car List + Stats'!C605</f>
        <v>Toyota</v>
      </c>
      <c r="C605" s="6" t="str">
        <f>'Detailed Car List + Stats'!D605</f>
        <v>Soarer 2.5 GT-T</v>
      </c>
      <c r="D605" s="6" t="str">
        <f>'Detailed Car List + Stats'!E605</f>
        <v>Retro Sports Cars</v>
      </c>
      <c r="E605" s="8" t="s">
        <v>1214</v>
      </c>
      <c r="F605" s="6" t="str">
        <f>'Detailed Car List + Stats'!G605</f>
        <v>Japan</v>
      </c>
      <c r="G605" s="19">
        <f>'Detailed Car List + Stats'!H605</f>
        <v>18000</v>
      </c>
      <c r="H605" s="10" t="s">
        <v>27</v>
      </c>
      <c r="I605" s="6" t="str">
        <f>'Detailed Car List + Stats'!T605</f>
        <v>Autoshow, Collection Journal, Wheelspin</v>
      </c>
      <c r="J605" s="2" t="str">
        <f>'Detailed Car List + Stats'!U605</f>
        <v/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6.5" customHeight="1">
      <c r="A606" s="5" t="str">
        <f>'Detailed Car List + Stats'!B606</f>
        <v>1965</v>
      </c>
      <c r="B606" s="5" t="str">
        <f>'Detailed Car List + Stats'!C606</f>
        <v>Toyota</v>
      </c>
      <c r="C606" s="5" t="str">
        <f>'Detailed Car List + Stats'!D606</f>
        <v>Sports 800</v>
      </c>
      <c r="D606" s="5" t="str">
        <f>'Detailed Car List + Stats'!E606</f>
        <v>Classic Sports Cars</v>
      </c>
      <c r="E606" s="17" t="s">
        <v>1216</v>
      </c>
      <c r="F606" s="5" t="str">
        <f>'Detailed Car List + Stats'!G606</f>
        <v>Japan</v>
      </c>
      <c r="G606" s="9" t="str">
        <f>'Detailed Car List + Stats'!H606</f>
        <v/>
      </c>
      <c r="H606" s="48"/>
      <c r="I606" s="5" t="str">
        <f>'Detailed Car List + Stats'!T606</f>
        <v>Collection Journal, Wheelspin, Seasonal</v>
      </c>
      <c r="J606" s="21" t="str">
        <f>'Detailed Car List + Stats'!U606</f>
        <v/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6.5" customHeight="1">
      <c r="A607" s="37" t="str">
        <f>'Detailed Car List + Stats'!B607</f>
        <v>1965</v>
      </c>
      <c r="B607" s="37" t="str">
        <f>'Detailed Car List + Stats'!C607</f>
        <v>Toyota</v>
      </c>
      <c r="C607" s="37" t="str">
        <f>'Detailed Car List + Stats'!D607</f>
        <v>Sports 800 Fanta Edition</v>
      </c>
      <c r="D607" s="37" t="str">
        <f>'Detailed Car List + Stats'!E607</f>
        <v>Classic Sports Cars</v>
      </c>
      <c r="E607" s="17" t="s">
        <v>1216</v>
      </c>
      <c r="F607" s="37" t="str">
        <f>'Detailed Car List + Stats'!G607</f>
        <v>Japan</v>
      </c>
      <c r="G607" s="38">
        <f>'Detailed Car List + Stats'!H607</f>
        <v>35000</v>
      </c>
      <c r="H607" s="10" t="s">
        <v>27</v>
      </c>
      <c r="I607" s="37" t="str">
        <f>'Detailed Car List + Stats'!T607</f>
        <v>Autoshow DLC</v>
      </c>
      <c r="J607" s="37" t="str">
        <f>'Detailed Car List + Stats'!U607</f>
        <v>Partnership DLC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6.5" customHeight="1">
      <c r="A608" s="6" t="str">
        <f>'Detailed Car List + Stats'!B608</f>
        <v>1985</v>
      </c>
      <c r="B608" s="6" t="str">
        <f>'Detailed Car List + Stats'!C608</f>
        <v>Toyota</v>
      </c>
      <c r="C608" s="6" t="str">
        <f>'Detailed Car List + Stats'!D608</f>
        <v>Sprinter Trueno GT Apex</v>
      </c>
      <c r="D608" s="6" t="str">
        <f>'Detailed Car List + Stats'!E608</f>
        <v>Retro Sports Cars</v>
      </c>
      <c r="E608" s="17" t="s">
        <v>1220</v>
      </c>
      <c r="F608" s="6" t="str">
        <f>'Detailed Car List + Stats'!G608</f>
        <v>Japan</v>
      </c>
      <c r="G608" s="19">
        <f>'Detailed Car List + Stats'!H608</f>
        <v>30000</v>
      </c>
      <c r="H608" s="34" t="s">
        <v>62</v>
      </c>
      <c r="I608" s="6" t="str">
        <f>'Detailed Car List + Stats'!T608</f>
        <v>Autoshow, Wheelspin</v>
      </c>
      <c r="J608" s="2" t="str">
        <f>'Detailed Car List + Stats'!U608</f>
        <v/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6.5" customHeight="1">
      <c r="A609" s="5" t="str">
        <f>'Detailed Car List + Stats'!B609</f>
        <v>1985</v>
      </c>
      <c r="B609" s="5" t="str">
        <f>'Detailed Car List + Stats'!C609</f>
        <v>Toyota</v>
      </c>
      <c r="C609" s="5" t="str">
        <f>'Detailed Car List + Stats'!D609</f>
        <v>Sprinter Trueno GT Apex Forza Edition</v>
      </c>
      <c r="D609" s="5" t="str">
        <f>'Detailed Car List + Stats'!E609</f>
        <v>Track Toys</v>
      </c>
      <c r="E609" s="25" t="s">
        <v>536</v>
      </c>
      <c r="F609" s="5" t="str">
        <f>'Detailed Car List + Stats'!G609</f>
        <v>Japan</v>
      </c>
      <c r="G609" s="9" t="str">
        <f>'Detailed Car List + Stats'!H609</f>
        <v/>
      </c>
      <c r="H609" s="48"/>
      <c r="I609" s="5" t="str">
        <f>'Detailed Car List + Stats'!T609</f>
        <v>Collection Journal, Seasonal</v>
      </c>
      <c r="J609" s="21" t="str">
        <f>'Detailed Car List + Stats'!U609</f>
        <v/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6.5" customHeight="1">
      <c r="A610" s="5" t="str">
        <f>'Detailed Car List + Stats'!B610</f>
        <v>1996</v>
      </c>
      <c r="B610" s="5" t="str">
        <f>'Detailed Car List + Stats'!C610</f>
        <v>Toyota</v>
      </c>
      <c r="C610" s="5" t="str">
        <f>'Detailed Car List + Stats'!D610</f>
        <v>Starlet Glanza V</v>
      </c>
      <c r="D610" s="5" t="str">
        <f>'Detailed Car List + Stats'!E610</f>
        <v>Retro Hot Hatch</v>
      </c>
      <c r="E610" s="8" t="s">
        <v>622</v>
      </c>
      <c r="F610" s="5" t="str">
        <f>'Detailed Car List + Stats'!G610</f>
        <v>Japan</v>
      </c>
      <c r="G610" s="9">
        <f>'Detailed Car List + Stats'!H610</f>
        <v>250000</v>
      </c>
      <c r="H610" s="20" t="s">
        <v>33</v>
      </c>
      <c r="I610" s="5" t="str">
        <f>'Detailed Car List + Stats'!T610</f>
        <v>Seasonal</v>
      </c>
      <c r="J610" s="21" t="str">
        <f>'Detailed Car List + Stats'!U610</f>
        <v/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6.5" customHeight="1">
      <c r="A611" s="6" t="str">
        <f>'Detailed Car List + Stats'!B611</f>
        <v>1992</v>
      </c>
      <c r="B611" s="6" t="str">
        <f>'Detailed Car List + Stats'!C611</f>
        <v>Toyota</v>
      </c>
      <c r="C611" s="6" t="str">
        <f>'Detailed Car List + Stats'!D611</f>
        <v>Supra 2.0 GT</v>
      </c>
      <c r="D611" s="6" t="str">
        <f>'Detailed Car List + Stats'!E611</f>
        <v>Retro Sports Cars</v>
      </c>
      <c r="E611" s="8" t="s">
        <v>1224</v>
      </c>
      <c r="F611" s="6" t="str">
        <f>'Detailed Car List + Stats'!G611</f>
        <v>Japan</v>
      </c>
      <c r="G611" s="19">
        <f>'Detailed Car List + Stats'!H611</f>
        <v>28000</v>
      </c>
      <c r="H611" s="10" t="s">
        <v>27</v>
      </c>
      <c r="I611" s="6" t="str">
        <f>'Detailed Car List + Stats'!T611</f>
        <v>Autoshow, Wheelspin</v>
      </c>
      <c r="J611" s="2" t="str">
        <f>'Detailed Car List + Stats'!U611</f>
        <v/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6.5" customHeight="1">
      <c r="A612" s="6" t="str">
        <f>'Detailed Car List + Stats'!B612</f>
        <v>1998</v>
      </c>
      <c r="B612" s="6" t="str">
        <f>'Detailed Car List + Stats'!C612</f>
        <v>Toyota</v>
      </c>
      <c r="C612" s="6" t="str">
        <f>'Detailed Car List + Stats'!D612</f>
        <v>Supra RZ</v>
      </c>
      <c r="D612" s="6" t="str">
        <f>'Detailed Car List + Stats'!E612</f>
        <v>Retro Sports Cars</v>
      </c>
      <c r="E612" s="25" t="s">
        <v>1226</v>
      </c>
      <c r="F612" s="6" t="str">
        <f>'Detailed Car List + Stats'!G612</f>
        <v>Japan</v>
      </c>
      <c r="G612" s="19">
        <f>'Detailed Car List + Stats'!H612</f>
        <v>60000</v>
      </c>
      <c r="H612" s="10" t="s">
        <v>27</v>
      </c>
      <c r="I612" s="6" t="str">
        <f>'Detailed Car List + Stats'!T612</f>
        <v>Autoshow, Collection Journal, Wheelspin</v>
      </c>
      <c r="J612" s="2" t="str">
        <f>'Detailed Car List + Stats'!U612</f>
        <v/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6.5" customHeight="1">
      <c r="A613" s="6" t="str">
        <f>'Detailed Car List + Stats'!B613</f>
        <v>2019</v>
      </c>
      <c r="B613" s="6" t="str">
        <f>'Detailed Car List + Stats'!C613</f>
        <v>Toyota</v>
      </c>
      <c r="C613" s="6" t="str">
        <f>'Detailed Car List + Stats'!D613</f>
        <v>Tacoma TRD Pro</v>
      </c>
      <c r="D613" s="6" t="str">
        <f>'Detailed Car List + Stats'!E613</f>
        <v>Pickups &amp; 4x4s</v>
      </c>
      <c r="E613" s="8" t="s">
        <v>1228</v>
      </c>
      <c r="F613" s="6" t="str">
        <f>'Detailed Car List + Stats'!G613</f>
        <v>Japan</v>
      </c>
      <c r="G613" s="19">
        <f>'Detailed Car List + Stats'!H613</f>
        <v>34000</v>
      </c>
      <c r="H613" s="10" t="s">
        <v>27</v>
      </c>
      <c r="I613" s="6" t="str">
        <f>'Detailed Car List + Stats'!T613</f>
        <v>Autoshow, Wheelspin</v>
      </c>
      <c r="J613" s="2" t="str">
        <f>'Detailed Car List + Stats'!U613</f>
        <v/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6.5" customHeight="1">
      <c r="A614" s="37" t="str">
        <f>'Detailed Car List + Stats'!B614</f>
        <v>2019</v>
      </c>
      <c r="B614" s="37" t="str">
        <f>'Detailed Car List + Stats'!C614</f>
        <v>Toyota</v>
      </c>
      <c r="C614" s="37" t="str">
        <f>'Detailed Car List + Stats'!D614</f>
        <v>Tacoma TRD Pro Forza Edition</v>
      </c>
      <c r="D614" s="37" t="str">
        <f>'Detailed Car List + Stats'!E614</f>
        <v>Extreme Track Toys</v>
      </c>
      <c r="E614" s="49" t="s">
        <v>494</v>
      </c>
      <c r="F614" s="37" t="str">
        <f>'Detailed Car List + Stats'!G614</f>
        <v>Japan</v>
      </c>
      <c r="G614" s="38">
        <f>'Detailed Car List + Stats'!H614</f>
        <v>500000</v>
      </c>
      <c r="H614" s="53" t="s">
        <v>430</v>
      </c>
      <c r="I614" s="37" t="str">
        <f>'Detailed Car List + Stats'!T614</f>
        <v>Autoshow DLC</v>
      </c>
      <c r="J614" s="37" t="str">
        <f>'Detailed Car List + Stats'!U614</f>
        <v>VIP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6.5" customHeight="1">
      <c r="A615" s="5" t="str">
        <f>'Detailed Car List + Stats'!B615</f>
        <v>1998</v>
      </c>
      <c r="B615" s="5" t="str">
        <f>'Detailed Car List + Stats'!C615</f>
        <v>TVR</v>
      </c>
      <c r="C615" s="5" t="str">
        <f>'Detailed Car List + Stats'!D615</f>
        <v>Cerbera Speed 12</v>
      </c>
      <c r="D615" s="5" t="str">
        <f>'Detailed Car List + Stats'!E615</f>
        <v>Retro Supercars</v>
      </c>
      <c r="E615" s="32" t="s">
        <v>456</v>
      </c>
      <c r="F615" s="5" t="str">
        <f>'Detailed Car List + Stats'!G615</f>
        <v>UK</v>
      </c>
      <c r="G615" s="9">
        <f>'Detailed Car List + Stats'!H615</f>
        <v>750000</v>
      </c>
      <c r="H615" s="34" t="s">
        <v>62</v>
      </c>
      <c r="I615" s="5" t="str">
        <f>'Detailed Car List + Stats'!T615</f>
        <v>Seasonal</v>
      </c>
      <c r="J615" s="21" t="str">
        <f>'Detailed Car List + Stats'!U615</f>
        <v/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6.5" customHeight="1">
      <c r="A616" s="6" t="str">
        <f>'Detailed Car List + Stats'!B616</f>
        <v>2018</v>
      </c>
      <c r="B616" s="6" t="str">
        <f>'Detailed Car List + Stats'!C616</f>
        <v>TVR</v>
      </c>
      <c r="C616" s="6" t="str">
        <f>'Detailed Car List + Stats'!D616</f>
        <v>Griffith</v>
      </c>
      <c r="D616" s="6" t="str">
        <f>'Detailed Car List + Stats'!E616</f>
        <v>Modern Sports Cars</v>
      </c>
      <c r="E616" s="32" t="s">
        <v>1233</v>
      </c>
      <c r="F616" s="6" t="str">
        <f>'Detailed Car List + Stats'!G616</f>
        <v>UK</v>
      </c>
      <c r="G616" s="19">
        <f>'Detailed Car List + Stats'!H616</f>
        <v>250000</v>
      </c>
      <c r="H616" s="10" t="s">
        <v>27</v>
      </c>
      <c r="I616" s="6" t="str">
        <f>'Detailed Car List + Stats'!T616</f>
        <v>Autoshow</v>
      </c>
      <c r="J616" s="2" t="str">
        <f>'Detailed Car List + Stats'!U616</f>
        <v/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6.5" customHeight="1">
      <c r="A617" s="6" t="str">
        <f>'Detailed Car List + Stats'!B617</f>
        <v>2005</v>
      </c>
      <c r="B617" s="6" t="str">
        <f>'Detailed Car List + Stats'!C617</f>
        <v>TVR</v>
      </c>
      <c r="C617" s="6" t="str">
        <f>'Detailed Car List + Stats'!D617</f>
        <v>Sagaris</v>
      </c>
      <c r="D617" s="6" t="str">
        <f>'Detailed Car List + Stats'!E617</f>
        <v>Retro Sports Cars</v>
      </c>
      <c r="E617" s="36" t="s">
        <v>294</v>
      </c>
      <c r="F617" s="6" t="str">
        <f>'Detailed Car List + Stats'!G617</f>
        <v>UK</v>
      </c>
      <c r="G617" s="19">
        <f>'Detailed Car List + Stats'!H617</f>
        <v>115000</v>
      </c>
      <c r="H617" s="10" t="s">
        <v>27</v>
      </c>
      <c r="I617" s="6" t="str">
        <f>'Detailed Car List + Stats'!T617</f>
        <v>Autoshow, Wheelspin</v>
      </c>
      <c r="J617" s="2" t="str">
        <f>'Detailed Car List + Stats'!U617</f>
        <v/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6.5" customHeight="1">
      <c r="A618" s="6" t="str">
        <f>'Detailed Car List + Stats'!B618</f>
        <v>2015</v>
      </c>
      <c r="B618" s="6" t="str">
        <f>'Detailed Car List + Stats'!C618</f>
        <v>Ultima</v>
      </c>
      <c r="C618" s="6" t="str">
        <f>'Detailed Car List + Stats'!D618</f>
        <v>Evolution Coupe 1020</v>
      </c>
      <c r="D618" s="6" t="str">
        <f>'Detailed Car List + Stats'!E618</f>
        <v>Extreme Track Toys</v>
      </c>
      <c r="E618" s="49" t="s">
        <v>1237</v>
      </c>
      <c r="F618" s="6" t="str">
        <f>'Detailed Car List + Stats'!G618</f>
        <v>UK</v>
      </c>
      <c r="G618" s="19">
        <f>'Detailed Car List + Stats'!H618</f>
        <v>150000</v>
      </c>
      <c r="H618" s="34" t="s">
        <v>62</v>
      </c>
      <c r="I618" s="6" t="str">
        <f>'Detailed Car List + Stats'!T618</f>
        <v>Autoshow, Wheelspin</v>
      </c>
      <c r="J618" s="2" t="str">
        <f>'Detailed Car List + Stats'!U618</f>
        <v/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6.5" customHeight="1">
      <c r="A619" s="6" t="str">
        <f>'Detailed Car List + Stats'!B619</f>
        <v>2017</v>
      </c>
      <c r="B619" s="6" t="str">
        <f>'Detailed Car List + Stats'!C619</f>
        <v>Volkswagen</v>
      </c>
      <c r="C619" s="6" t="str">
        <f>'Detailed Car List + Stats'!D619</f>
        <v>#34 Andretti Rally Cross Beetle</v>
      </c>
      <c r="D619" s="6" t="str">
        <f>'Detailed Car List + Stats'!E619</f>
        <v>Rally Monsters</v>
      </c>
      <c r="E619" s="32" t="s">
        <v>886</v>
      </c>
      <c r="F619" s="6" t="str">
        <f>'Detailed Car List + Stats'!G619</f>
        <v>Germany</v>
      </c>
      <c r="G619" s="19">
        <f>'Detailed Car List + Stats'!H619</f>
        <v>150000</v>
      </c>
      <c r="H619" s="34" t="s">
        <v>62</v>
      </c>
      <c r="I619" s="6" t="str">
        <f>'Detailed Car List + Stats'!T619</f>
        <v>Autoshow, Wheelspin</v>
      </c>
      <c r="J619" s="2" t="str">
        <f>'Detailed Car List + Stats'!U619</f>
        <v/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6.5" customHeight="1">
      <c r="A620" s="6" t="str">
        <f>'Detailed Car List + Stats'!B620</f>
        <v>1963</v>
      </c>
      <c r="B620" s="6" t="str">
        <f>'Detailed Car List + Stats'!C620</f>
        <v>Volkswagen</v>
      </c>
      <c r="C620" s="6" t="str">
        <f>'Detailed Car List + Stats'!D620</f>
        <v>Beetle</v>
      </c>
      <c r="D620" s="6" t="str">
        <f>'Detailed Car List + Stats'!E620</f>
        <v>Cult Cars</v>
      </c>
      <c r="E620" s="17" t="s">
        <v>32</v>
      </c>
      <c r="F620" s="6" t="str">
        <f>'Detailed Car List + Stats'!G620</f>
        <v>Germany</v>
      </c>
      <c r="G620" s="19">
        <f>'Detailed Car List + Stats'!H620</f>
        <v>17000</v>
      </c>
      <c r="H620" s="35" t="s">
        <v>76</v>
      </c>
      <c r="I620" s="6" t="str">
        <f>'Detailed Car List + Stats'!T620</f>
        <v>Autoshow, Wheelspin</v>
      </c>
      <c r="J620" s="2" t="str">
        <f>'Detailed Car List + Stats'!U620</f>
        <v/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6.5" customHeight="1">
      <c r="A621" s="6" t="str">
        <f>'Detailed Car List + Stats'!B621</f>
        <v>1969</v>
      </c>
      <c r="B621" s="6" t="str">
        <f>'Detailed Car List + Stats'!C621</f>
        <v>Volkswagen</v>
      </c>
      <c r="C621" s="6" t="str">
        <f>'Detailed Car List + Stats'!D621</f>
        <v>Class 5/1600 Baja Bug</v>
      </c>
      <c r="D621" s="6" t="str">
        <f>'Detailed Car List + Stats'!E621</f>
        <v>Buggies</v>
      </c>
      <c r="E621" s="17" t="s">
        <v>1243</v>
      </c>
      <c r="F621" s="6" t="str">
        <f>'Detailed Car List + Stats'!G621</f>
        <v>Germany</v>
      </c>
      <c r="G621" s="19">
        <f>'Detailed Car List + Stats'!H621</f>
        <v>35000</v>
      </c>
      <c r="H621" s="10" t="s">
        <v>27</v>
      </c>
      <c r="I621" s="6" t="str">
        <f>'Detailed Car List + Stats'!T621</f>
        <v>Autoshow, Wheelspin</v>
      </c>
      <c r="J621" s="2" t="str">
        <f>'Detailed Car List + Stats'!U621</f>
        <v/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6.5" customHeight="1">
      <c r="A622" s="6" t="str">
        <f>'Detailed Car List + Stats'!B622</f>
        <v>1995</v>
      </c>
      <c r="B622" s="6" t="str">
        <f>'Detailed Car List + Stats'!C622</f>
        <v>Volkswagen</v>
      </c>
      <c r="C622" s="6" t="str">
        <f>'Detailed Car List + Stats'!D622</f>
        <v>Corrado VR6</v>
      </c>
      <c r="D622" s="6" t="str">
        <f>'Detailed Car List + Stats'!E622</f>
        <v>Retro Hot Hatch</v>
      </c>
      <c r="E622" s="8" t="s">
        <v>1245</v>
      </c>
      <c r="F622" s="6" t="str">
        <f>'Detailed Car List + Stats'!G622</f>
        <v>Germany</v>
      </c>
      <c r="G622" s="19">
        <f>'Detailed Car List + Stats'!H622</f>
        <v>30000</v>
      </c>
      <c r="H622" s="20" t="s">
        <v>33</v>
      </c>
      <c r="I622" s="6" t="str">
        <f>'Detailed Car List + Stats'!T622</f>
        <v>Autoshow, Wheelspin</v>
      </c>
      <c r="J622" s="2" t="str">
        <f>'Detailed Car List + Stats'!U622</f>
        <v/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6.5" customHeight="1">
      <c r="A623" s="6" t="str">
        <f>'Detailed Car List + Stats'!B623</f>
        <v>1983</v>
      </c>
      <c r="B623" s="6" t="str">
        <f>'Detailed Car List + Stats'!C623</f>
        <v>Volkswagen</v>
      </c>
      <c r="C623" s="6" t="str">
        <f>'Detailed Car List + Stats'!D623</f>
        <v>Golf GTI</v>
      </c>
      <c r="D623" s="6" t="str">
        <f>'Detailed Car List + Stats'!E623</f>
        <v>Retro Hot Hatch</v>
      </c>
      <c r="E623" s="17" t="s">
        <v>1247</v>
      </c>
      <c r="F623" s="6" t="str">
        <f>'Detailed Car List + Stats'!G623</f>
        <v>Germany</v>
      </c>
      <c r="G623" s="19">
        <f>'Detailed Car List + Stats'!H623</f>
        <v>18000</v>
      </c>
      <c r="H623" s="20" t="s">
        <v>33</v>
      </c>
      <c r="I623" s="6" t="str">
        <f>'Detailed Car List + Stats'!T623</f>
        <v>Autoshow, Wheelspin</v>
      </c>
      <c r="J623" s="2" t="str">
        <f>'Detailed Car List + Stats'!U623</f>
        <v/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6.5" customHeight="1">
      <c r="A624" s="6" t="str">
        <f>'Detailed Car List + Stats'!B624</f>
        <v>1992</v>
      </c>
      <c r="B624" s="6" t="str">
        <f>'Detailed Car List + Stats'!C624</f>
        <v>Volkswagen</v>
      </c>
      <c r="C624" s="6" t="str">
        <f>'Detailed Car List + Stats'!D624</f>
        <v>Golf Gti 16v Mk 2</v>
      </c>
      <c r="D624" s="6" t="str">
        <f>'Detailed Car List + Stats'!E624</f>
        <v>Retro Hot Hatch</v>
      </c>
      <c r="E624" s="17" t="s">
        <v>1249</v>
      </c>
      <c r="F624" s="6" t="str">
        <f>'Detailed Car List + Stats'!G624</f>
        <v>Germany</v>
      </c>
      <c r="G624" s="19">
        <f>'Detailed Car List + Stats'!H624</f>
        <v>22000</v>
      </c>
      <c r="H624" s="20" t="s">
        <v>33</v>
      </c>
      <c r="I624" s="6" t="str">
        <f>'Detailed Car List + Stats'!T624</f>
        <v>Autoshow, Wheelspin</v>
      </c>
      <c r="J624" s="2" t="str">
        <f>'Detailed Car List + Stats'!U624</f>
        <v/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6.5" customHeight="1">
      <c r="A625" s="6" t="str">
        <f>'Detailed Car List + Stats'!B625</f>
        <v>2010</v>
      </c>
      <c r="B625" s="6" t="str">
        <f>'Detailed Car List + Stats'!C625</f>
        <v>Volkswagen</v>
      </c>
      <c r="C625" s="6" t="str">
        <f>'Detailed Car List + Stats'!D625</f>
        <v>Golf R</v>
      </c>
      <c r="D625" s="6" t="str">
        <f>'Detailed Car List + Stats'!E625</f>
        <v>Super Hot Hatch</v>
      </c>
      <c r="E625" s="25" t="s">
        <v>216</v>
      </c>
      <c r="F625" s="6" t="str">
        <f>'Detailed Car List + Stats'!G625</f>
        <v>Germany</v>
      </c>
      <c r="G625" s="19">
        <f>'Detailed Car List + Stats'!H625</f>
        <v>20000</v>
      </c>
      <c r="H625" s="10" t="s">
        <v>27</v>
      </c>
      <c r="I625" s="6" t="str">
        <f>'Detailed Car List + Stats'!T625</f>
        <v>Autoshow, Wheelspin</v>
      </c>
      <c r="J625" s="2" t="str">
        <f>'Detailed Car List + Stats'!U625</f>
        <v/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6.5" customHeight="1">
      <c r="A626" s="6" t="str">
        <f>'Detailed Car List + Stats'!B626</f>
        <v>2014</v>
      </c>
      <c r="B626" s="6" t="str">
        <f>'Detailed Car List + Stats'!C626</f>
        <v>Volkswagen</v>
      </c>
      <c r="C626" s="6" t="str">
        <f>'Detailed Car List + Stats'!D626</f>
        <v>Golf R</v>
      </c>
      <c r="D626" s="6" t="str">
        <f>'Detailed Car List + Stats'!E626</f>
        <v>Super Hot Hatch</v>
      </c>
      <c r="E626" s="25" t="s">
        <v>534</v>
      </c>
      <c r="F626" s="6" t="str">
        <f>'Detailed Car List + Stats'!G626</f>
        <v>Germany</v>
      </c>
      <c r="G626" s="19">
        <f>'Detailed Car List + Stats'!H626</f>
        <v>27000</v>
      </c>
      <c r="H626" s="20" t="s">
        <v>33</v>
      </c>
      <c r="I626" s="6" t="str">
        <f>'Detailed Car List + Stats'!T626</f>
        <v>Autoshow, Wheelspin</v>
      </c>
      <c r="J626" s="2" t="str">
        <f>'Detailed Car List + Stats'!U626</f>
        <v/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6.5" customHeight="1">
      <c r="A627" s="6" t="str">
        <f>'Detailed Car List + Stats'!B627</f>
        <v>2021</v>
      </c>
      <c r="B627" s="6" t="str">
        <f>'Detailed Car List + Stats'!C627</f>
        <v>Volkswagen</v>
      </c>
      <c r="C627" s="6" t="str">
        <f>'Detailed Car List + Stats'!D627</f>
        <v>Golf R</v>
      </c>
      <c r="D627" s="6" t="str">
        <f>'Detailed Car List + Stats'!E627</f>
        <v>Super Hot Hatch</v>
      </c>
      <c r="E627" s="25" t="s">
        <v>291</v>
      </c>
      <c r="F627" s="6" t="str">
        <f>'Detailed Car List + Stats'!G627</f>
        <v>Germany</v>
      </c>
      <c r="G627" s="19">
        <f>'Detailed Car List + Stats'!H627</f>
        <v>29000</v>
      </c>
      <c r="H627" s="20" t="s">
        <v>33</v>
      </c>
      <c r="I627" s="6" t="str">
        <f>'Detailed Car List + Stats'!T627</f>
        <v>Autoshow, Wheelspin</v>
      </c>
      <c r="J627" s="2" t="str">
        <f>'Detailed Car List + Stats'!U627</f>
        <v/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6.5" customHeight="1">
      <c r="A628" s="6" t="str">
        <f>'Detailed Car List + Stats'!B628</f>
        <v>2022</v>
      </c>
      <c r="B628" s="6" t="str">
        <f>'Detailed Car List + Stats'!C628</f>
        <v>Volkswagen</v>
      </c>
      <c r="C628" s="6" t="str">
        <f>'Detailed Car List + Stats'!D628</f>
        <v>Golf R</v>
      </c>
      <c r="D628" s="6" t="str">
        <f>'Detailed Car List + Stats'!E628</f>
        <v>Super Hot Hatch</v>
      </c>
      <c r="E628" s="25" t="s">
        <v>397</v>
      </c>
      <c r="F628" s="6" t="str">
        <f>'Detailed Car List + Stats'!G628</f>
        <v>Germany</v>
      </c>
      <c r="G628" s="19">
        <f>'Detailed Car List + Stats'!H628</f>
        <v>35000</v>
      </c>
      <c r="H628" s="10" t="s">
        <v>27</v>
      </c>
      <c r="I628" s="6" t="str">
        <f>'Detailed Car List + Stats'!T628</f>
        <v>Autoshow, Wheelspin</v>
      </c>
      <c r="J628" s="2" t="str">
        <f>'Detailed Car List + Stats'!U628</f>
        <v/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6.5" customHeight="1">
      <c r="A629" s="6" t="str">
        <f>'Detailed Car List + Stats'!B629</f>
        <v>1982</v>
      </c>
      <c r="B629" s="6" t="str">
        <f>'Detailed Car List + Stats'!C629</f>
        <v>Volkswagen</v>
      </c>
      <c r="C629" s="6" t="str">
        <f>'Detailed Car List + Stats'!D629</f>
        <v>Pickup LX</v>
      </c>
      <c r="D629" s="6" t="str">
        <f>'Detailed Car List + Stats'!E629</f>
        <v>Utility Heroes</v>
      </c>
      <c r="E629" s="17" t="s">
        <v>32</v>
      </c>
      <c r="F629" s="6" t="str">
        <f>'Detailed Car List + Stats'!G629</f>
        <v>Germany</v>
      </c>
      <c r="G629" s="19">
        <f>'Detailed Car List + Stats'!H629</f>
        <v>16000</v>
      </c>
      <c r="H629" s="34" t="s">
        <v>62</v>
      </c>
      <c r="I629" s="6" t="str">
        <f>'Detailed Car List + Stats'!T629</f>
        <v>Autoshow, Wheelspin</v>
      </c>
      <c r="J629" s="2" t="str">
        <f>'Detailed Car List + Stats'!U629</f>
        <v/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6.5" customHeight="1">
      <c r="A630" s="5" t="str">
        <f>'Detailed Car List + Stats'!B630</f>
        <v>1989</v>
      </c>
      <c r="B630" s="5" t="str">
        <f>'Detailed Car List + Stats'!C630</f>
        <v>Volkswagen</v>
      </c>
      <c r="C630" s="5" t="str">
        <f>'Detailed Car List + Stats'!D630</f>
        <v>Rallye Golf</v>
      </c>
      <c r="D630" s="5" t="str">
        <f>'Detailed Car List + Stats'!E630</f>
        <v>Retro Rally</v>
      </c>
      <c r="E630" s="8" t="s">
        <v>1253</v>
      </c>
      <c r="F630" s="5" t="str">
        <f>'Detailed Car List + Stats'!G630</f>
        <v>Germany</v>
      </c>
      <c r="G630" s="9" t="str">
        <f>'Detailed Car List + Stats'!H630</f>
        <v/>
      </c>
      <c r="H630" s="48"/>
      <c r="I630" s="5" t="str">
        <f>'Detailed Car List + Stats'!T630</f>
        <v>Seasonal</v>
      </c>
      <c r="J630" s="21" t="str">
        <f>'Detailed Car List + Stats'!U630</f>
        <v/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6.5" customHeight="1">
      <c r="A631" s="6" t="str">
        <f>'Detailed Car List + Stats'!B631</f>
        <v>2011</v>
      </c>
      <c r="B631" s="6" t="str">
        <f>'Detailed Car List + Stats'!C631</f>
        <v>Volkswagen</v>
      </c>
      <c r="C631" s="6" t="str">
        <f>'Detailed Car List + Stats'!D631</f>
        <v>Scirocco R</v>
      </c>
      <c r="D631" s="6" t="str">
        <f>'Detailed Car List + Stats'!E631</f>
        <v>Hot Hatch</v>
      </c>
      <c r="E631" s="25" t="s">
        <v>397</v>
      </c>
      <c r="F631" s="6" t="str">
        <f>'Detailed Car List + Stats'!G631</f>
        <v>Germany</v>
      </c>
      <c r="G631" s="19">
        <f>'Detailed Car List + Stats'!H631</f>
        <v>15000</v>
      </c>
      <c r="H631" s="10" t="s">
        <v>27</v>
      </c>
      <c r="I631" s="6" t="str">
        <f>'Detailed Car List + Stats'!T631</f>
        <v>Autoshow, Wheelspin</v>
      </c>
      <c r="J631" s="2" t="str">
        <f>'Detailed Car List + Stats'!U631</f>
        <v/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6.5" customHeight="1">
      <c r="A632" s="6" t="str">
        <f>'Detailed Car List + Stats'!B632</f>
        <v>1963</v>
      </c>
      <c r="B632" s="6" t="str">
        <f>'Detailed Car List + Stats'!C632</f>
        <v>Volkswagen</v>
      </c>
      <c r="C632" s="6" t="str">
        <f>'Detailed Car List + Stats'!D632</f>
        <v>Type 2 De Luxe</v>
      </c>
      <c r="D632" s="6" t="str">
        <f>'Detailed Car List + Stats'!E632</f>
        <v>Cult Cars</v>
      </c>
      <c r="E632" s="17" t="s">
        <v>32</v>
      </c>
      <c r="F632" s="6" t="str">
        <f>'Detailed Car List + Stats'!G632</f>
        <v>Germany</v>
      </c>
      <c r="G632" s="19">
        <f>'Detailed Car List + Stats'!H632</f>
        <v>178000</v>
      </c>
      <c r="H632" s="10" t="s">
        <v>27</v>
      </c>
      <c r="I632" s="6" t="str">
        <f>'Detailed Car List + Stats'!T632</f>
        <v>Autoshow, Collection Journal</v>
      </c>
      <c r="J632" s="2" t="str">
        <f>'Detailed Car List + Stats'!U632</f>
        <v/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6.5" customHeight="1">
      <c r="A633" s="6" t="str">
        <f>'Detailed Car List + Stats'!B633</f>
        <v>1983</v>
      </c>
      <c r="B633" s="6" t="str">
        <f>'Detailed Car List + Stats'!C633</f>
        <v>Volvo</v>
      </c>
      <c r="C633" s="6" t="str">
        <f>'Detailed Car List + Stats'!D633</f>
        <v>242 Turbo Evolution</v>
      </c>
      <c r="D633" s="6" t="str">
        <f>'Detailed Car List + Stats'!E633</f>
        <v>Classic Rally</v>
      </c>
      <c r="E633" s="8" t="s">
        <v>622</v>
      </c>
      <c r="F633" s="6" t="str">
        <f>'Detailed Car List + Stats'!G633</f>
        <v>Sweden</v>
      </c>
      <c r="G633" s="19">
        <f>'Detailed Car List + Stats'!H633</f>
        <v>30000</v>
      </c>
      <c r="H633" s="20" t="s">
        <v>33</v>
      </c>
      <c r="I633" s="6" t="str">
        <f>'Detailed Car List + Stats'!T633</f>
        <v>Autoshow, Wheelspin</v>
      </c>
      <c r="J633" s="2" t="str">
        <f>'Detailed Car List + Stats'!U633</f>
        <v/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6.5" customHeight="1">
      <c r="A634" s="6" t="str">
        <f>'Detailed Car List + Stats'!B634</f>
        <v>2022</v>
      </c>
      <c r="B634" s="6" t="str">
        <f>'Detailed Car List + Stats'!C634</f>
        <v>Wuling</v>
      </c>
      <c r="C634" s="6" t="str">
        <f>'Detailed Car List + Stats'!D634</f>
        <v>Hongguang Mini EV</v>
      </c>
      <c r="D634" s="6" t="str">
        <f>'Detailed Car List + Stats'!E634</f>
        <v>Hot Hatch</v>
      </c>
      <c r="E634" s="17" t="s">
        <v>32</v>
      </c>
      <c r="F634" s="6" t="str">
        <f>'Detailed Car List + Stats'!G634</f>
        <v>China</v>
      </c>
      <c r="G634" s="19">
        <f>'Detailed Car List + Stats'!H634</f>
        <v>5000</v>
      </c>
      <c r="H634" s="10" t="s">
        <v>27</v>
      </c>
      <c r="I634" s="6" t="str">
        <f>'Detailed Car List + Stats'!T634</f>
        <v>Autoshow, Wheelspin</v>
      </c>
      <c r="J634" s="2" t="str">
        <f>'Detailed Car List + Stats'!U634</f>
        <v/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6.5" customHeight="1">
      <c r="A635" s="6" t="str">
        <f>'Detailed Car List + Stats'!B635</f>
        <v>2013</v>
      </c>
      <c r="B635" s="6" t="str">
        <f>'Detailed Car List + Stats'!C635</f>
        <v>Wuling</v>
      </c>
      <c r="C635" s="6" t="str">
        <f>'Detailed Car List + Stats'!D635</f>
        <v>Sunshine S</v>
      </c>
      <c r="D635" s="6" t="str">
        <f>'Detailed Car List + Stats'!E635</f>
        <v>Utility Heroes</v>
      </c>
      <c r="E635" s="17" t="s">
        <v>1262</v>
      </c>
      <c r="F635" s="6" t="str">
        <f>'Detailed Car List + Stats'!G635</f>
        <v>China</v>
      </c>
      <c r="G635" s="19">
        <f>'Detailed Car List + Stats'!H635</f>
        <v>2000</v>
      </c>
      <c r="H635" s="10" t="s">
        <v>27</v>
      </c>
      <c r="I635" s="6" t="str">
        <f>'Detailed Car List + Stats'!T635</f>
        <v>Autoshow, Wheelspin</v>
      </c>
      <c r="J635" s="2" t="str">
        <f>'Detailed Car List + Stats'!U635</f>
        <v/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6.5" customHeight="1">
      <c r="A636" s="5" t="str">
        <f>'Detailed Car List + Stats'!B636</f>
        <v>2013</v>
      </c>
      <c r="B636" s="5" t="str">
        <f>'Detailed Car List + Stats'!C636</f>
        <v>Wuling</v>
      </c>
      <c r="C636" s="5" t="str">
        <f>'Detailed Car List + Stats'!D636</f>
        <v>Sunshine S Forza Edition</v>
      </c>
      <c r="D636" s="5" t="str">
        <f>'Detailed Car List + Stats'!E636</f>
        <v>Track Toys</v>
      </c>
      <c r="E636" s="32" t="s">
        <v>277</v>
      </c>
      <c r="F636" s="5" t="str">
        <f>'Detailed Car List + Stats'!G636</f>
        <v>China</v>
      </c>
      <c r="G636" s="9" t="str">
        <f>'Detailed Car List + Stats'!H636</f>
        <v/>
      </c>
      <c r="H636" s="48"/>
      <c r="I636" s="5" t="str">
        <f>'Detailed Car List + Stats'!T636</f>
        <v>Wheelspin, Seasonal</v>
      </c>
      <c r="J636" s="21" t="str">
        <f>'Detailed Car List + Stats'!U636</f>
        <v/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6.5" customHeight="1">
      <c r="A637" s="6" t="str">
        <f>'Detailed Car List + Stats'!B637</f>
        <v>2019</v>
      </c>
      <c r="B637" s="6" t="str">
        <f>'Detailed Car List + Stats'!C637</f>
        <v>Zenvo</v>
      </c>
      <c r="C637" s="6" t="str">
        <f>'Detailed Car List + Stats'!D637</f>
        <v>TSR-S</v>
      </c>
      <c r="D637" s="6" t="str">
        <f>'Detailed Car List + Stats'!E637</f>
        <v>Hypercars</v>
      </c>
      <c r="E637" s="49" t="s">
        <v>1266</v>
      </c>
      <c r="F637" s="6" t="str">
        <f>'Detailed Car List + Stats'!G637</f>
        <v>Denmark</v>
      </c>
      <c r="G637" s="19">
        <f>'Detailed Car List + Stats'!H637</f>
        <v>1200000</v>
      </c>
      <c r="H637" s="35" t="s">
        <v>76</v>
      </c>
      <c r="I637" s="6" t="str">
        <f>'Detailed Car List + Stats'!T637</f>
        <v>Autoshow, Wheelspin</v>
      </c>
      <c r="J637" s="2" t="str">
        <f>'Detailed Car List + Stats'!U637</f>
        <v/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60"/>
      <c r="H638" s="60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60"/>
      <c r="H639" s="60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60"/>
      <c r="H640" s="60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60"/>
      <c r="H641" s="60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60"/>
      <c r="H642" s="60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60"/>
      <c r="H643" s="60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60"/>
      <c r="H644" s="60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60"/>
      <c r="H645" s="60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60"/>
      <c r="H646" s="60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60"/>
      <c r="H647" s="60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60"/>
      <c r="H648" s="60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60"/>
      <c r="H649" s="60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60"/>
      <c r="H650" s="60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60"/>
      <c r="H651" s="60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60"/>
      <c r="H652" s="60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60"/>
      <c r="H653" s="60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60"/>
      <c r="H654" s="60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60"/>
      <c r="H655" s="60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60"/>
      <c r="H656" s="60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60"/>
      <c r="H657" s="60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60"/>
      <c r="H658" s="60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60"/>
      <c r="H659" s="60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60"/>
      <c r="H660" s="60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60"/>
      <c r="H661" s="60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60"/>
      <c r="H662" s="60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60"/>
      <c r="H663" s="60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60"/>
      <c r="H664" s="60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60"/>
      <c r="H665" s="60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60"/>
      <c r="H666" s="60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60"/>
      <c r="H667" s="60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60"/>
      <c r="H668" s="60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60"/>
      <c r="H669" s="60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60"/>
      <c r="H670" s="60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60"/>
      <c r="H671" s="60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60"/>
      <c r="H672" s="60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60"/>
      <c r="H673" s="60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60"/>
      <c r="H674" s="60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60"/>
      <c r="H675" s="60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60"/>
      <c r="H676" s="60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60"/>
      <c r="H677" s="60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60"/>
      <c r="H678" s="60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60"/>
      <c r="H679" s="60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60"/>
      <c r="H680" s="60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60"/>
      <c r="H681" s="60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60"/>
      <c r="H682" s="60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60"/>
      <c r="H683" s="60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60"/>
      <c r="H684" s="60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60"/>
      <c r="H685" s="60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60"/>
      <c r="H686" s="60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60"/>
      <c r="H687" s="60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60"/>
      <c r="H688" s="60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60"/>
      <c r="H689" s="60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60"/>
      <c r="H690" s="60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60"/>
      <c r="H691" s="60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60"/>
      <c r="H692" s="60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60"/>
      <c r="H693" s="60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60"/>
      <c r="H694" s="60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60"/>
      <c r="H695" s="60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60"/>
      <c r="H696" s="60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60"/>
      <c r="H697" s="60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60"/>
      <c r="H698" s="60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60"/>
      <c r="H699" s="60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60"/>
      <c r="H700" s="60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60"/>
      <c r="H701" s="60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60"/>
      <c r="H702" s="60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60"/>
      <c r="H703" s="60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60"/>
      <c r="H704" s="60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60"/>
      <c r="H705" s="60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60"/>
      <c r="H706" s="60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60"/>
      <c r="H707" s="60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60"/>
      <c r="H708" s="60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60"/>
      <c r="H709" s="60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60"/>
      <c r="H710" s="60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60"/>
      <c r="H711" s="60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60"/>
      <c r="H712" s="60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60"/>
      <c r="H713" s="60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60"/>
      <c r="H714" s="60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60"/>
      <c r="H715" s="60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60"/>
      <c r="H716" s="60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60"/>
      <c r="H717" s="60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60"/>
      <c r="H718" s="60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60"/>
      <c r="H719" s="60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60"/>
      <c r="H720" s="60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60"/>
      <c r="H721" s="60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60"/>
      <c r="H722" s="60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60"/>
      <c r="H723" s="60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60"/>
      <c r="H724" s="60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60"/>
      <c r="H725" s="60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60"/>
      <c r="H726" s="60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60"/>
      <c r="H727" s="60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60"/>
      <c r="H728" s="60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60"/>
      <c r="H729" s="60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60"/>
      <c r="H730" s="60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60"/>
      <c r="H731" s="60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60"/>
      <c r="H732" s="60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60"/>
      <c r="H733" s="60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60"/>
      <c r="H734" s="60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60"/>
      <c r="H735" s="60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60"/>
      <c r="H736" s="60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60"/>
      <c r="H737" s="60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60"/>
      <c r="H738" s="60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60"/>
      <c r="H739" s="60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60"/>
      <c r="H740" s="60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60"/>
      <c r="H741" s="60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60"/>
      <c r="H742" s="60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60"/>
      <c r="H743" s="60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60"/>
      <c r="H744" s="60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60"/>
      <c r="H745" s="60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60"/>
      <c r="H746" s="60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60"/>
      <c r="H747" s="60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60"/>
      <c r="H748" s="60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60"/>
      <c r="H749" s="60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60"/>
      <c r="H750" s="60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60"/>
      <c r="H751" s="60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60"/>
      <c r="H752" s="60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60"/>
      <c r="H753" s="60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60"/>
      <c r="H754" s="60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60"/>
      <c r="H755" s="60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60"/>
      <c r="H756" s="60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60"/>
      <c r="H757" s="60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60"/>
      <c r="H758" s="60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60"/>
      <c r="H759" s="60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60"/>
      <c r="H760" s="60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60"/>
      <c r="H761" s="60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60"/>
      <c r="H762" s="60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60"/>
      <c r="H763" s="60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60"/>
      <c r="H764" s="60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60"/>
      <c r="H765" s="60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60"/>
      <c r="H766" s="60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60"/>
      <c r="H767" s="60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60"/>
      <c r="H768" s="60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60"/>
      <c r="H769" s="60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60"/>
      <c r="H770" s="60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60"/>
      <c r="H771" s="60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60"/>
      <c r="H772" s="60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60"/>
      <c r="H773" s="60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60"/>
      <c r="H774" s="60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60"/>
      <c r="H775" s="60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60"/>
      <c r="H776" s="60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60"/>
      <c r="H777" s="60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60"/>
      <c r="H778" s="60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60"/>
      <c r="H779" s="60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60"/>
      <c r="H780" s="60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60"/>
      <c r="H781" s="60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60"/>
      <c r="H782" s="60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60"/>
      <c r="H783" s="60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60"/>
      <c r="H784" s="60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60"/>
      <c r="H785" s="60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60"/>
      <c r="H786" s="60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60"/>
      <c r="H787" s="60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60"/>
      <c r="H788" s="60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60"/>
      <c r="H789" s="60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60"/>
      <c r="H790" s="60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60"/>
      <c r="H791" s="60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60"/>
      <c r="H792" s="60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60"/>
      <c r="H793" s="60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60"/>
      <c r="H794" s="60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60"/>
      <c r="H795" s="60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60"/>
      <c r="H796" s="60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60"/>
      <c r="H797" s="60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60"/>
      <c r="H798" s="60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60"/>
      <c r="H799" s="60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60"/>
      <c r="H800" s="60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60"/>
      <c r="H801" s="60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60"/>
      <c r="H802" s="60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60"/>
      <c r="H803" s="60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60"/>
      <c r="H804" s="60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60"/>
      <c r="H805" s="60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60"/>
      <c r="H806" s="60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60"/>
      <c r="H807" s="60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60"/>
      <c r="H808" s="60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60"/>
      <c r="H809" s="60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60"/>
      <c r="H810" s="60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60"/>
      <c r="H811" s="60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60"/>
      <c r="H812" s="60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60"/>
      <c r="H813" s="60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60"/>
      <c r="H814" s="60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60"/>
      <c r="H815" s="60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60"/>
      <c r="H816" s="60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60"/>
      <c r="H817" s="60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60"/>
      <c r="H818" s="60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60"/>
      <c r="H819" s="60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60"/>
      <c r="H820" s="60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60"/>
      <c r="H821" s="60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60"/>
      <c r="H822" s="60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60"/>
      <c r="H823" s="60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60"/>
      <c r="H824" s="60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60"/>
      <c r="H825" s="60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60"/>
      <c r="H826" s="60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60"/>
      <c r="H827" s="60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60"/>
      <c r="H828" s="60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60"/>
      <c r="H829" s="60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60"/>
      <c r="H830" s="60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60"/>
      <c r="H831" s="60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60"/>
      <c r="H832" s="60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60"/>
      <c r="H833" s="60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60"/>
      <c r="H834" s="60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60"/>
      <c r="H835" s="60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60"/>
      <c r="H836" s="60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60"/>
      <c r="H837" s="60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60"/>
      <c r="H838" s="60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60"/>
      <c r="H839" s="60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60"/>
      <c r="H840" s="60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60"/>
      <c r="H841" s="60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60"/>
      <c r="H842" s="60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60"/>
      <c r="H843" s="60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60"/>
      <c r="H844" s="60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60"/>
      <c r="H845" s="60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60"/>
      <c r="H846" s="60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60"/>
      <c r="H847" s="60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60"/>
      <c r="H848" s="60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60"/>
      <c r="H849" s="60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60"/>
      <c r="H850" s="60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60"/>
      <c r="H851" s="60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60"/>
      <c r="H852" s="60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60"/>
      <c r="H853" s="60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60"/>
      <c r="H854" s="60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60"/>
      <c r="H855" s="60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60"/>
      <c r="H856" s="60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60"/>
      <c r="H857" s="60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60"/>
      <c r="H858" s="60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60"/>
      <c r="H859" s="60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60"/>
      <c r="H860" s="60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60"/>
      <c r="H861" s="60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60"/>
      <c r="H862" s="60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60"/>
      <c r="H863" s="60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60"/>
      <c r="H864" s="60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60"/>
      <c r="H865" s="60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60"/>
      <c r="H866" s="60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60"/>
      <c r="H867" s="60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60"/>
      <c r="H868" s="60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60"/>
      <c r="H869" s="60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60"/>
      <c r="H870" s="60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60"/>
      <c r="H871" s="60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60"/>
      <c r="H872" s="60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60"/>
      <c r="H873" s="60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60"/>
      <c r="H874" s="60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60"/>
      <c r="H875" s="60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60"/>
      <c r="H876" s="60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60"/>
      <c r="H877" s="60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60"/>
      <c r="H878" s="60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60"/>
      <c r="H879" s="60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60"/>
      <c r="H880" s="60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60"/>
      <c r="H881" s="60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60"/>
      <c r="H882" s="60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60"/>
      <c r="H883" s="60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60"/>
      <c r="H884" s="60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60"/>
      <c r="H885" s="60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60"/>
      <c r="H886" s="60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60"/>
      <c r="H887" s="60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60"/>
      <c r="H888" s="60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60"/>
      <c r="H889" s="60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60"/>
      <c r="H890" s="60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60"/>
      <c r="H891" s="60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60"/>
      <c r="H892" s="60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60"/>
      <c r="H893" s="60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60"/>
      <c r="H894" s="60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60"/>
      <c r="H895" s="60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60"/>
      <c r="H896" s="60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60"/>
      <c r="H897" s="60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60"/>
      <c r="H898" s="60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60"/>
      <c r="H899" s="60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60"/>
      <c r="H900" s="60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60"/>
      <c r="H901" s="60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60"/>
      <c r="H902" s="60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60"/>
      <c r="H903" s="60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60"/>
      <c r="H904" s="60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60"/>
      <c r="H905" s="60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60"/>
      <c r="H906" s="60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60"/>
      <c r="H907" s="60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60"/>
      <c r="H908" s="60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60"/>
      <c r="H909" s="60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60"/>
      <c r="H910" s="60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60"/>
      <c r="H911" s="60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60"/>
      <c r="H912" s="60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60"/>
      <c r="H913" s="60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60"/>
      <c r="H914" s="60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60"/>
      <c r="H915" s="60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60"/>
      <c r="H916" s="60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60"/>
      <c r="H917" s="60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60"/>
      <c r="H918" s="60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60"/>
      <c r="H919" s="60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60"/>
      <c r="H920" s="60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60"/>
      <c r="H921" s="60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60"/>
      <c r="H922" s="60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60"/>
      <c r="H923" s="60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60"/>
      <c r="H924" s="60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60"/>
      <c r="H925" s="60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60"/>
      <c r="H926" s="60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60"/>
      <c r="H927" s="60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60"/>
      <c r="H928" s="60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60"/>
      <c r="H929" s="60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60"/>
      <c r="H930" s="60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60"/>
      <c r="H931" s="60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60"/>
      <c r="H932" s="60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60"/>
      <c r="H933" s="60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60"/>
      <c r="H934" s="60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60"/>
      <c r="H935" s="60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60"/>
      <c r="H936" s="60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60"/>
      <c r="H937" s="60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60"/>
      <c r="H938" s="60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60"/>
      <c r="H939" s="60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60"/>
      <c r="H940" s="60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60"/>
      <c r="H941" s="60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60"/>
      <c r="H942" s="60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60"/>
      <c r="H943" s="60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60"/>
      <c r="H944" s="60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60"/>
      <c r="H945" s="60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60"/>
      <c r="H946" s="60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60"/>
      <c r="H947" s="60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60"/>
      <c r="H948" s="60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60"/>
      <c r="H949" s="60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60"/>
      <c r="H950" s="60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60"/>
      <c r="H951" s="60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60"/>
      <c r="H952" s="60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60"/>
      <c r="H953" s="60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60"/>
      <c r="H954" s="60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60"/>
      <c r="H955" s="60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60"/>
      <c r="H956" s="60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60"/>
      <c r="H957" s="60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60"/>
      <c r="H958" s="60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60"/>
      <c r="H959" s="60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60"/>
      <c r="H960" s="60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60"/>
      <c r="H961" s="60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60"/>
      <c r="H962" s="60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60"/>
      <c r="H963" s="60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60"/>
      <c r="H964" s="60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60"/>
      <c r="H965" s="60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60"/>
      <c r="H966" s="60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60"/>
      <c r="H967" s="60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60"/>
      <c r="H968" s="60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60"/>
      <c r="H969" s="60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2"/>
      <c r="D970" s="2"/>
      <c r="E970" s="2"/>
      <c r="F970" s="2"/>
      <c r="G970" s="60"/>
      <c r="H970" s="60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2"/>
      <c r="D971" s="2"/>
      <c r="E971" s="2"/>
      <c r="F971" s="2"/>
      <c r="G971" s="60"/>
      <c r="H971" s="60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2"/>
      <c r="D972" s="2"/>
      <c r="E972" s="2"/>
      <c r="F972" s="2"/>
      <c r="G972" s="60"/>
      <c r="H972" s="60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2"/>
      <c r="D973" s="2"/>
      <c r="E973" s="2"/>
      <c r="F973" s="2"/>
      <c r="G973" s="60"/>
      <c r="H973" s="60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2"/>
      <c r="D974" s="2"/>
      <c r="E974" s="2"/>
      <c r="F974" s="2"/>
      <c r="G974" s="60"/>
      <c r="H974" s="60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2"/>
      <c r="D975" s="2"/>
      <c r="E975" s="2"/>
      <c r="F975" s="2"/>
      <c r="G975" s="60"/>
      <c r="H975" s="60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2"/>
      <c r="D976" s="2"/>
      <c r="E976" s="2"/>
      <c r="F976" s="2"/>
      <c r="G976" s="60"/>
      <c r="H976" s="60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2"/>
      <c r="D977" s="2"/>
      <c r="E977" s="2"/>
      <c r="F977" s="2"/>
      <c r="G977" s="60"/>
      <c r="H977" s="60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2"/>
      <c r="D978" s="2"/>
      <c r="E978" s="2"/>
      <c r="F978" s="2"/>
      <c r="G978" s="60"/>
      <c r="H978" s="60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2"/>
      <c r="D979" s="2"/>
      <c r="E979" s="2"/>
      <c r="F979" s="2"/>
      <c r="G979" s="60"/>
      <c r="H979" s="60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2"/>
      <c r="D980" s="2"/>
      <c r="E980" s="2"/>
      <c r="F980" s="2"/>
      <c r="G980" s="60"/>
      <c r="H980" s="60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2"/>
      <c r="D981" s="2"/>
      <c r="E981" s="2"/>
      <c r="F981" s="2"/>
      <c r="G981" s="60"/>
      <c r="H981" s="60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2"/>
      <c r="D982" s="2"/>
      <c r="E982" s="2"/>
      <c r="F982" s="2"/>
      <c r="G982" s="60"/>
      <c r="H982" s="60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2"/>
      <c r="D983" s="2"/>
      <c r="E983" s="2"/>
      <c r="F983" s="2"/>
      <c r="G983" s="60"/>
      <c r="H983" s="60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2"/>
      <c r="D984" s="2"/>
      <c r="E984" s="2"/>
      <c r="F984" s="2"/>
      <c r="G984" s="60"/>
      <c r="H984" s="60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2"/>
      <c r="D985" s="2"/>
      <c r="E985" s="2"/>
      <c r="F985" s="2"/>
      <c r="G985" s="60"/>
      <c r="H985" s="60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2"/>
      <c r="D986" s="2"/>
      <c r="E986" s="2"/>
      <c r="F986" s="2"/>
      <c r="G986" s="60"/>
      <c r="H986" s="60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2"/>
      <c r="D987" s="2"/>
      <c r="E987" s="2"/>
      <c r="F987" s="2"/>
      <c r="G987" s="60"/>
      <c r="H987" s="60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2"/>
      <c r="D988" s="2"/>
      <c r="E988" s="2"/>
      <c r="F988" s="2"/>
      <c r="G988" s="60"/>
      <c r="H988" s="60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2"/>
      <c r="D989" s="2"/>
      <c r="E989" s="2"/>
      <c r="F989" s="2"/>
      <c r="G989" s="60"/>
      <c r="H989" s="60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2"/>
      <c r="D990" s="2"/>
      <c r="E990" s="2"/>
      <c r="F990" s="2"/>
      <c r="G990" s="60"/>
      <c r="H990" s="60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2"/>
      <c r="D991" s="2"/>
      <c r="E991" s="2"/>
      <c r="F991" s="2"/>
      <c r="G991" s="60"/>
      <c r="H991" s="60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2"/>
      <c r="D992" s="2"/>
      <c r="E992" s="2"/>
      <c r="F992" s="2"/>
      <c r="G992" s="60"/>
      <c r="H992" s="60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2"/>
      <c r="D993" s="2"/>
      <c r="E993" s="2"/>
      <c r="F993" s="2"/>
      <c r="G993" s="60"/>
      <c r="H993" s="60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2"/>
      <c r="D994" s="2"/>
      <c r="E994" s="2"/>
      <c r="F994" s="2"/>
      <c r="G994" s="60"/>
      <c r="H994" s="60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2"/>
      <c r="D995" s="2"/>
      <c r="E995" s="2"/>
      <c r="F995" s="2"/>
      <c r="G995" s="60"/>
      <c r="H995" s="60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2"/>
      <c r="D996" s="2"/>
      <c r="E996" s="2"/>
      <c r="F996" s="2"/>
      <c r="G996" s="60"/>
      <c r="H996" s="60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2"/>
      <c r="D997" s="2"/>
      <c r="E997" s="2"/>
      <c r="F997" s="2"/>
      <c r="G997" s="60"/>
      <c r="H997" s="60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2"/>
      <c r="D998" s="2"/>
      <c r="E998" s="2"/>
      <c r="F998" s="2"/>
      <c r="G998" s="60"/>
      <c r="H998" s="60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2"/>
      <c r="D999" s="2"/>
      <c r="E999" s="2"/>
      <c r="F999" s="2"/>
      <c r="G999" s="60"/>
      <c r="H999" s="60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2"/>
      <c r="D1000" s="2"/>
      <c r="E1000" s="2"/>
      <c r="F1000" s="2"/>
      <c r="G1000" s="60"/>
      <c r="H1000" s="60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>
      <c r="A1001" s="2"/>
      <c r="B1001" s="2"/>
      <c r="C1001" s="2"/>
      <c r="D1001" s="2"/>
      <c r="E1001" s="2"/>
      <c r="F1001" s="2"/>
      <c r="G1001" s="60"/>
      <c r="H1001" s="60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>
      <c r="A1002" s="2"/>
      <c r="B1002" s="2"/>
      <c r="C1002" s="2"/>
      <c r="D1002" s="2"/>
      <c r="E1002" s="2"/>
      <c r="F1002" s="2"/>
      <c r="G1002" s="60"/>
      <c r="H1002" s="60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>
      <c r="A1003" s="2"/>
      <c r="B1003" s="2"/>
      <c r="C1003" s="2"/>
      <c r="D1003" s="2"/>
      <c r="E1003" s="2"/>
      <c r="F1003" s="2"/>
      <c r="G1003" s="60"/>
      <c r="H1003" s="60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>
      <c r="A1004" s="2"/>
      <c r="B1004" s="2"/>
      <c r="C1004" s="2"/>
      <c r="D1004" s="2"/>
      <c r="E1004" s="2"/>
      <c r="F1004" s="2"/>
      <c r="G1004" s="60"/>
      <c r="H1004" s="60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>
      <c r="A1005" s="2"/>
      <c r="B1005" s="2"/>
      <c r="C1005" s="2"/>
      <c r="D1005" s="2"/>
      <c r="E1005" s="2"/>
      <c r="F1005" s="2"/>
      <c r="G1005" s="60"/>
      <c r="H1005" s="60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>
      <c r="A1006" s="2"/>
      <c r="B1006" s="2"/>
      <c r="C1006" s="2"/>
      <c r="D1006" s="2"/>
      <c r="E1006" s="2"/>
      <c r="F1006" s="2"/>
      <c r="G1006" s="60"/>
      <c r="H1006" s="60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>
      <c r="A1007" s="2"/>
      <c r="B1007" s="2"/>
      <c r="C1007" s="2"/>
      <c r="D1007" s="2"/>
      <c r="E1007" s="2"/>
      <c r="F1007" s="2"/>
      <c r="G1007" s="60"/>
      <c r="H1007" s="60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>
      <c r="A1008" s="2"/>
      <c r="B1008" s="2"/>
      <c r="C1008" s="2"/>
      <c r="D1008" s="2"/>
      <c r="E1008" s="2"/>
      <c r="F1008" s="2"/>
      <c r="G1008" s="60"/>
      <c r="H1008" s="60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>
      <c r="A1009" s="2"/>
      <c r="B1009" s="2"/>
      <c r="C1009" s="2"/>
      <c r="D1009" s="2"/>
      <c r="E1009" s="2"/>
      <c r="F1009" s="2"/>
      <c r="G1009" s="60"/>
      <c r="H1009" s="60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>
      <c r="A1010" s="2"/>
      <c r="B1010" s="2"/>
      <c r="C1010" s="2"/>
      <c r="D1010" s="2"/>
      <c r="E1010" s="2"/>
      <c r="F1010" s="2"/>
      <c r="G1010" s="60"/>
      <c r="H1010" s="60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>
      <c r="A1011" s="2"/>
      <c r="B1011" s="2"/>
      <c r="C1011" s="2"/>
      <c r="D1011" s="2"/>
      <c r="E1011" s="2"/>
      <c r="F1011" s="2"/>
      <c r="G1011" s="60"/>
      <c r="H1011" s="60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>
      <c r="A1012" s="2"/>
      <c r="B1012" s="2"/>
      <c r="C1012" s="2"/>
      <c r="D1012" s="2"/>
      <c r="E1012" s="2"/>
      <c r="F1012" s="2"/>
      <c r="G1012" s="60"/>
      <c r="H1012" s="60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>
      <c r="A1013" s="2"/>
      <c r="B1013" s="2"/>
      <c r="C1013" s="2"/>
      <c r="D1013" s="2"/>
      <c r="E1013" s="2"/>
      <c r="F1013" s="2"/>
      <c r="G1013" s="60"/>
      <c r="H1013" s="60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>
      <c r="A1014" s="2"/>
      <c r="B1014" s="2"/>
      <c r="C1014" s="2"/>
      <c r="D1014" s="2"/>
      <c r="E1014" s="2"/>
      <c r="F1014" s="2"/>
      <c r="G1014" s="60"/>
      <c r="H1014" s="60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>
      <c r="A1015" s="2"/>
      <c r="B1015" s="2"/>
      <c r="C1015" s="2"/>
      <c r="D1015" s="2"/>
      <c r="E1015" s="2"/>
      <c r="F1015" s="2"/>
      <c r="G1015" s="60"/>
      <c r="H1015" s="60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>
      <c r="A1016" s="2"/>
      <c r="B1016" s="2"/>
      <c r="C1016" s="2"/>
      <c r="D1016" s="2"/>
      <c r="E1016" s="2"/>
      <c r="F1016" s="2"/>
      <c r="G1016" s="60"/>
      <c r="H1016" s="60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>
      <c r="A1017" s="2"/>
      <c r="B1017" s="2"/>
      <c r="C1017" s="2"/>
      <c r="D1017" s="2"/>
      <c r="E1017" s="2"/>
      <c r="F1017" s="2"/>
      <c r="G1017" s="60"/>
      <c r="H1017" s="60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>
      <c r="A1018" s="2"/>
      <c r="B1018" s="2"/>
      <c r="C1018" s="2"/>
      <c r="D1018" s="2"/>
      <c r="E1018" s="2"/>
      <c r="F1018" s="2"/>
      <c r="G1018" s="60"/>
      <c r="H1018" s="60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</sheetData>
  <autoFilter ref="$A$1:$J$1018">
    <sortState ref="A1:J1018">
      <sortCondition ref="B1:B1018"/>
      <sortCondition ref="C1:C1018"/>
      <sortCondition ref="A1:A1018"/>
      <sortCondition ref="I1:I1018"/>
      <sortCondition ref="J1:J1018"/>
      <sortCondition ref="G1:G1018"/>
      <sortCondition ref="H1:H1018"/>
      <sortCondition ref="E1:E101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0.13"/>
    <col customWidth="1" min="2" max="2" width="7.25"/>
    <col customWidth="1" min="3" max="3" width="22.88"/>
    <col customWidth="1" min="4" max="4" width="55.0"/>
    <col customWidth="1" min="5" max="5" width="19.5"/>
    <col customWidth="1" min="6" max="6" width="8.0"/>
    <col customWidth="1" min="7" max="7" width="10.0"/>
    <col customWidth="1" min="8" max="8" width="11.75"/>
    <col customWidth="1" min="9" max="9" width="11.63"/>
    <col customWidth="1" min="10" max="10" width="12.88"/>
    <col customWidth="1" min="11" max="11" width="15.38"/>
    <col customWidth="1" min="12" max="12" width="13.5"/>
    <col customWidth="1" min="13" max="13" width="12.88"/>
    <col customWidth="1" min="14" max="14" width="17.5"/>
    <col customWidth="1" min="15" max="15" width="11.5"/>
    <col customWidth="1" min="16" max="16" width="13.25"/>
    <col customWidth="1" min="17" max="17" width="16.0"/>
    <col customWidth="1" min="18" max="18" width="16.75"/>
    <col customWidth="1" min="19" max="19" width="14.25"/>
    <col customWidth="1" min="20" max="20" width="33.88"/>
    <col customWidth="1" min="21" max="21" width="20.7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1" t="s">
        <v>9</v>
      </c>
      <c r="U1" s="1" t="s">
        <v>10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6.5" customHeight="1">
      <c r="A2" s="7" t="b">
        <v>0</v>
      </c>
      <c r="B2" s="5" t="s">
        <v>21</v>
      </c>
      <c r="C2" s="5" t="s">
        <v>22</v>
      </c>
      <c r="D2" s="5" t="s">
        <v>23</v>
      </c>
      <c r="E2" s="5" t="s">
        <v>24</v>
      </c>
      <c r="F2" s="8" t="s">
        <v>25</v>
      </c>
      <c r="G2" s="5" t="s">
        <v>26</v>
      </c>
      <c r="H2" s="9">
        <v>250000.0</v>
      </c>
      <c r="I2" s="10" t="s">
        <v>27</v>
      </c>
      <c r="J2" s="11">
        <v>165.0</v>
      </c>
      <c r="K2" s="11">
        <v>184.0</v>
      </c>
      <c r="L2" s="11">
        <v>2477.0</v>
      </c>
      <c r="M2" s="12">
        <v>0.54</v>
      </c>
      <c r="N2" s="13">
        <v>1.37</v>
      </c>
      <c r="O2" s="14" t="s">
        <v>29</v>
      </c>
      <c r="P2" s="15" t="s">
        <v>30</v>
      </c>
      <c r="Q2" s="16">
        <f t="shared" ref="Q2:Q3" si="1">L2/J2</f>
        <v>15.01212121</v>
      </c>
      <c r="R2" s="18">
        <f t="shared" ref="R2:R3" si="2">0+((ABS(0.5-M2)*1))</f>
        <v>0.04</v>
      </c>
      <c r="S2" s="16">
        <f t="shared" ref="S2:S3" si="3">Q2*(R2+1)</f>
        <v>15.61260606</v>
      </c>
      <c r="T2" s="5" t="s">
        <v>34</v>
      </c>
      <c r="U2" s="21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6.5" customHeight="1">
      <c r="A3" s="7" t="b">
        <v>0</v>
      </c>
      <c r="B3" s="6" t="s">
        <v>36</v>
      </c>
      <c r="C3" s="6" t="s">
        <v>22</v>
      </c>
      <c r="D3" s="6" t="s">
        <v>37</v>
      </c>
      <c r="E3" s="6" t="s">
        <v>38</v>
      </c>
      <c r="F3" s="17" t="s">
        <v>32</v>
      </c>
      <c r="G3" s="6" t="s">
        <v>26</v>
      </c>
      <c r="H3" s="19">
        <v>25000.0</v>
      </c>
      <c r="I3" s="20" t="s">
        <v>33</v>
      </c>
      <c r="J3" s="22">
        <v>28.0</v>
      </c>
      <c r="K3" s="22">
        <v>34.0</v>
      </c>
      <c r="L3" s="22">
        <v>1257.0</v>
      </c>
      <c r="M3" s="23">
        <v>0.42</v>
      </c>
      <c r="N3" s="24">
        <v>0.59</v>
      </c>
      <c r="O3" s="26" t="s">
        <v>29</v>
      </c>
      <c r="P3" s="26" t="s">
        <v>29</v>
      </c>
      <c r="Q3" s="27">
        <f t="shared" si="1"/>
        <v>44.89285714</v>
      </c>
      <c r="R3" s="23">
        <f t="shared" si="2"/>
        <v>0.08</v>
      </c>
      <c r="S3" s="27">
        <f t="shared" si="3"/>
        <v>48.48428571</v>
      </c>
      <c r="T3" s="6" t="s">
        <v>40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16.5" customHeight="1">
      <c r="A4" s="7" t="b">
        <v>0</v>
      </c>
      <c r="B4" s="5" t="s">
        <v>41</v>
      </c>
      <c r="C4" s="5" t="s">
        <v>22</v>
      </c>
      <c r="D4" s="5" t="s">
        <v>42</v>
      </c>
      <c r="E4" s="5" t="s">
        <v>43</v>
      </c>
      <c r="F4" s="25" t="s">
        <v>39</v>
      </c>
      <c r="G4" s="5" t="s">
        <v>26</v>
      </c>
      <c r="H4" s="9">
        <v>250000.0</v>
      </c>
      <c r="I4" s="20" t="s">
        <v>33</v>
      </c>
      <c r="J4" s="9"/>
      <c r="K4" s="9"/>
      <c r="L4" s="9"/>
      <c r="M4" s="28"/>
      <c r="N4" s="29"/>
      <c r="O4" s="30"/>
      <c r="P4" s="30"/>
      <c r="Q4" s="16"/>
      <c r="R4" s="18"/>
      <c r="S4" s="16"/>
      <c r="T4" s="5" t="s">
        <v>34</v>
      </c>
      <c r="U4" s="2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16.5" customHeight="1">
      <c r="A5" s="7" t="b">
        <v>0</v>
      </c>
      <c r="B5" s="6" t="s">
        <v>44</v>
      </c>
      <c r="C5" s="6" t="s">
        <v>22</v>
      </c>
      <c r="D5" s="6" t="s">
        <v>45</v>
      </c>
      <c r="E5" s="6" t="s">
        <v>46</v>
      </c>
      <c r="F5" s="17" t="s">
        <v>47</v>
      </c>
      <c r="G5" s="6" t="s">
        <v>26</v>
      </c>
      <c r="H5" s="19">
        <v>125000.0</v>
      </c>
      <c r="I5" s="20" t="s">
        <v>33</v>
      </c>
      <c r="J5" s="22">
        <v>140.0</v>
      </c>
      <c r="K5" s="22">
        <v>130.0</v>
      </c>
      <c r="L5" s="22">
        <v>2161.0</v>
      </c>
      <c r="M5" s="23">
        <v>0.54</v>
      </c>
      <c r="N5" s="24">
        <v>2.0</v>
      </c>
      <c r="O5" s="26" t="s">
        <v>29</v>
      </c>
      <c r="P5" s="26" t="s">
        <v>30</v>
      </c>
      <c r="Q5" s="27">
        <f t="shared" ref="Q5:Q7" si="4">L5/J5</f>
        <v>15.43571429</v>
      </c>
      <c r="R5" s="23">
        <f t="shared" ref="R5:R7" si="5">0+((ABS(0.5-M5)*1))</f>
        <v>0.04</v>
      </c>
      <c r="S5" s="27">
        <f t="shared" ref="S5:S7" si="6">Q5*(R5+1)</f>
        <v>16.05314286</v>
      </c>
      <c r="T5" s="6" t="s">
        <v>40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t="16.5" customHeight="1">
      <c r="A6" s="7" t="b">
        <v>0</v>
      </c>
      <c r="B6" s="6" t="s">
        <v>48</v>
      </c>
      <c r="C6" s="6" t="s">
        <v>49</v>
      </c>
      <c r="D6" s="6" t="s">
        <v>50</v>
      </c>
      <c r="E6" s="6" t="s">
        <v>43</v>
      </c>
      <c r="F6" s="8" t="s">
        <v>51</v>
      </c>
      <c r="G6" s="6" t="s">
        <v>52</v>
      </c>
      <c r="H6" s="19">
        <v>36000.0</v>
      </c>
      <c r="I6" s="10" t="s">
        <v>27</v>
      </c>
      <c r="J6" s="22">
        <v>200.0</v>
      </c>
      <c r="K6" s="22">
        <v>192.0</v>
      </c>
      <c r="L6" s="22">
        <v>3073.0</v>
      </c>
      <c r="M6" s="23">
        <v>0.6</v>
      </c>
      <c r="N6" s="24">
        <v>1.5</v>
      </c>
      <c r="O6" s="26" t="s">
        <v>30</v>
      </c>
      <c r="P6" s="26" t="s">
        <v>30</v>
      </c>
      <c r="Q6" s="27">
        <f t="shared" si="4"/>
        <v>15.365</v>
      </c>
      <c r="R6" s="23">
        <f t="shared" si="5"/>
        <v>0.1</v>
      </c>
      <c r="S6" s="27">
        <f t="shared" si="6"/>
        <v>16.9015</v>
      </c>
      <c r="T6" s="6" t="s">
        <v>40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16.5" customHeight="1">
      <c r="A7" s="31" t="b">
        <v>0</v>
      </c>
      <c r="B7" s="6" t="s">
        <v>54</v>
      </c>
      <c r="C7" s="6" t="s">
        <v>49</v>
      </c>
      <c r="D7" s="6" t="s">
        <v>55</v>
      </c>
      <c r="E7" s="6" t="s">
        <v>56</v>
      </c>
      <c r="F7" s="8" t="s">
        <v>57</v>
      </c>
      <c r="G7" s="6" t="s">
        <v>52</v>
      </c>
      <c r="H7" s="19">
        <v>65000.0</v>
      </c>
      <c r="I7" s="20" t="s">
        <v>33</v>
      </c>
      <c r="J7" s="22">
        <v>195.0</v>
      </c>
      <c r="K7" s="22">
        <v>130.0</v>
      </c>
      <c r="L7" s="22">
        <v>2639.0</v>
      </c>
      <c r="M7" s="23">
        <v>0.62</v>
      </c>
      <c r="N7" s="24">
        <v>1.8</v>
      </c>
      <c r="O7" s="26" t="s">
        <v>30</v>
      </c>
      <c r="P7" s="26" t="s">
        <v>30</v>
      </c>
      <c r="Q7" s="27">
        <f t="shared" si="4"/>
        <v>13.53333333</v>
      </c>
      <c r="R7" s="23">
        <f t="shared" si="5"/>
        <v>0.12</v>
      </c>
      <c r="S7" s="27">
        <f t="shared" si="6"/>
        <v>15.15733333</v>
      </c>
      <c r="T7" s="6" t="s">
        <v>40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16.5" customHeight="1">
      <c r="A8" s="7" t="b">
        <v>0</v>
      </c>
      <c r="B8" s="5" t="s">
        <v>58</v>
      </c>
      <c r="C8" s="5" t="s">
        <v>49</v>
      </c>
      <c r="D8" s="5" t="s">
        <v>59</v>
      </c>
      <c r="E8" s="5" t="s">
        <v>60</v>
      </c>
      <c r="F8" s="32" t="s">
        <v>61</v>
      </c>
      <c r="G8" s="5" t="s">
        <v>52</v>
      </c>
      <c r="H8" s="9">
        <v>193000.0</v>
      </c>
      <c r="I8" s="33" t="s">
        <v>62</v>
      </c>
      <c r="J8" s="9"/>
      <c r="K8" s="9"/>
      <c r="L8" s="9"/>
      <c r="M8" s="28"/>
      <c r="N8" s="29"/>
      <c r="O8" s="30"/>
      <c r="P8" s="30"/>
      <c r="Q8" s="16"/>
      <c r="R8" s="18"/>
      <c r="S8" s="16"/>
      <c r="T8" s="5" t="s">
        <v>34</v>
      </c>
      <c r="U8" s="21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16.5" customHeight="1">
      <c r="A9" s="7" t="b">
        <v>0</v>
      </c>
      <c r="B9" s="6" t="s">
        <v>63</v>
      </c>
      <c r="C9" s="6" t="s">
        <v>49</v>
      </c>
      <c r="D9" s="6" t="s">
        <v>64</v>
      </c>
      <c r="E9" s="6" t="s">
        <v>56</v>
      </c>
      <c r="F9" s="8" t="s">
        <v>65</v>
      </c>
      <c r="G9" s="6" t="s">
        <v>52</v>
      </c>
      <c r="H9" s="19">
        <v>18000.0</v>
      </c>
      <c r="I9" s="20" t="s">
        <v>33</v>
      </c>
      <c r="J9" s="22">
        <v>200.0</v>
      </c>
      <c r="K9" s="22">
        <v>142.0</v>
      </c>
      <c r="L9" s="22">
        <v>2820.0</v>
      </c>
      <c r="M9" s="23">
        <v>0.61</v>
      </c>
      <c r="N9" s="24">
        <v>2.0</v>
      </c>
      <c r="O9" s="26" t="s">
        <v>30</v>
      </c>
      <c r="P9" s="26" t="s">
        <v>30</v>
      </c>
      <c r="Q9" s="27">
        <f t="shared" ref="Q9:Q17" si="7">L9/J9</f>
        <v>14.1</v>
      </c>
      <c r="R9" s="23">
        <f t="shared" ref="R9:R17" si="8">0+((ABS(0.5-M9)*1))</f>
        <v>0.11</v>
      </c>
      <c r="S9" s="27">
        <f t="shared" ref="S9:S17" si="9">Q9*(R9+1)</f>
        <v>15.651</v>
      </c>
      <c r="T9" s="6" t="s">
        <v>40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16.5" customHeight="1">
      <c r="A10" s="7" t="b">
        <v>0</v>
      </c>
      <c r="B10" s="6" t="s">
        <v>66</v>
      </c>
      <c r="C10" s="6" t="s">
        <v>67</v>
      </c>
      <c r="D10" s="6" t="s">
        <v>68</v>
      </c>
      <c r="E10" s="6" t="s">
        <v>69</v>
      </c>
      <c r="F10" s="8" t="s">
        <v>70</v>
      </c>
      <c r="G10" s="6" t="s">
        <v>26</v>
      </c>
      <c r="H10" s="19">
        <v>30000.0</v>
      </c>
      <c r="I10" s="34" t="s">
        <v>62</v>
      </c>
      <c r="J10" s="22">
        <v>187.0</v>
      </c>
      <c r="K10" s="22">
        <v>219.0</v>
      </c>
      <c r="L10" s="22">
        <v>3186.0</v>
      </c>
      <c r="M10" s="23">
        <v>0.61</v>
      </c>
      <c r="N10" s="24">
        <v>2.0</v>
      </c>
      <c r="O10" s="26" t="s">
        <v>71</v>
      </c>
      <c r="P10" s="26" t="s">
        <v>30</v>
      </c>
      <c r="Q10" s="27">
        <f t="shared" si="7"/>
        <v>17.03743316</v>
      </c>
      <c r="R10" s="23">
        <f t="shared" si="8"/>
        <v>0.11</v>
      </c>
      <c r="S10" s="27">
        <f t="shared" si="9"/>
        <v>18.9115508</v>
      </c>
      <c r="T10" s="6" t="s">
        <v>72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16.5" customHeight="1">
      <c r="A11" s="7" t="b">
        <v>0</v>
      </c>
      <c r="B11" s="6" t="s">
        <v>36</v>
      </c>
      <c r="C11" s="6" t="s">
        <v>67</v>
      </c>
      <c r="D11" s="6" t="s">
        <v>73</v>
      </c>
      <c r="E11" s="6" t="s">
        <v>74</v>
      </c>
      <c r="F11" s="25" t="s">
        <v>75</v>
      </c>
      <c r="G11" s="6" t="s">
        <v>26</v>
      </c>
      <c r="H11" s="19">
        <v>3500000.0</v>
      </c>
      <c r="I11" s="35" t="s">
        <v>76</v>
      </c>
      <c r="J11" s="22">
        <v>245.0</v>
      </c>
      <c r="K11" s="22">
        <v>148.0</v>
      </c>
      <c r="L11" s="22">
        <v>1543.0</v>
      </c>
      <c r="M11" s="23">
        <v>0.4</v>
      </c>
      <c r="N11" s="24">
        <v>2.0</v>
      </c>
      <c r="O11" s="26" t="s">
        <v>29</v>
      </c>
      <c r="P11" s="26" t="s">
        <v>77</v>
      </c>
      <c r="Q11" s="27">
        <f t="shared" si="7"/>
        <v>6.297959184</v>
      </c>
      <c r="R11" s="23">
        <f t="shared" si="8"/>
        <v>0.1</v>
      </c>
      <c r="S11" s="27">
        <f t="shared" si="9"/>
        <v>6.927755102</v>
      </c>
      <c r="T11" s="6" t="s">
        <v>40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16.5" customHeight="1">
      <c r="A12" s="7" t="b">
        <v>0</v>
      </c>
      <c r="B12" s="6" t="s">
        <v>79</v>
      </c>
      <c r="C12" s="6" t="s">
        <v>67</v>
      </c>
      <c r="D12" s="6" t="s">
        <v>80</v>
      </c>
      <c r="E12" s="6" t="s">
        <v>24</v>
      </c>
      <c r="F12" s="36" t="s">
        <v>81</v>
      </c>
      <c r="G12" s="6" t="s">
        <v>26</v>
      </c>
      <c r="H12" s="19">
        <v>73000.0</v>
      </c>
      <c r="I12" s="34" t="s">
        <v>62</v>
      </c>
      <c r="J12" s="22">
        <v>240.0</v>
      </c>
      <c r="K12" s="22">
        <v>238.0</v>
      </c>
      <c r="L12" s="22">
        <v>2072.0</v>
      </c>
      <c r="M12" s="23">
        <v>0.41</v>
      </c>
      <c r="N12" s="24">
        <v>1.74</v>
      </c>
      <c r="O12" s="26" t="s">
        <v>29</v>
      </c>
      <c r="P12" s="26" t="s">
        <v>77</v>
      </c>
      <c r="Q12" s="27">
        <f t="shared" si="7"/>
        <v>8.633333333</v>
      </c>
      <c r="R12" s="23">
        <f t="shared" si="8"/>
        <v>0.09</v>
      </c>
      <c r="S12" s="27">
        <f t="shared" si="9"/>
        <v>9.410333333</v>
      </c>
      <c r="T12" s="6" t="s">
        <v>72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16.5" customHeight="1">
      <c r="A13" s="7" t="b">
        <v>0</v>
      </c>
      <c r="B13" s="6" t="s">
        <v>82</v>
      </c>
      <c r="C13" s="6" t="s">
        <v>67</v>
      </c>
      <c r="D13" s="6" t="s">
        <v>83</v>
      </c>
      <c r="E13" s="6" t="s">
        <v>84</v>
      </c>
      <c r="F13" s="36" t="s">
        <v>85</v>
      </c>
      <c r="G13" s="6" t="s">
        <v>26</v>
      </c>
      <c r="H13" s="19">
        <v>312000.0</v>
      </c>
      <c r="I13" s="34" t="s">
        <v>62</v>
      </c>
      <c r="J13" s="22">
        <v>450.0</v>
      </c>
      <c r="K13" s="22">
        <v>354.0</v>
      </c>
      <c r="L13" s="22">
        <v>3495.0</v>
      </c>
      <c r="M13" s="23">
        <v>0.49</v>
      </c>
      <c r="N13" s="24">
        <v>4.69</v>
      </c>
      <c r="O13" s="26" t="s">
        <v>29</v>
      </c>
      <c r="P13" s="26" t="s">
        <v>30</v>
      </c>
      <c r="Q13" s="27">
        <f t="shared" si="7"/>
        <v>7.766666667</v>
      </c>
      <c r="R13" s="23">
        <f t="shared" si="8"/>
        <v>0.01</v>
      </c>
      <c r="S13" s="27">
        <f t="shared" si="9"/>
        <v>7.844333333</v>
      </c>
      <c r="T13" s="6" t="s">
        <v>40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16.5" customHeight="1">
      <c r="A14" s="7" t="b">
        <v>0</v>
      </c>
      <c r="B14" s="37" t="s">
        <v>36</v>
      </c>
      <c r="C14" s="37" t="s">
        <v>67</v>
      </c>
      <c r="D14" s="37" t="s">
        <v>86</v>
      </c>
      <c r="E14" s="37" t="s">
        <v>74</v>
      </c>
      <c r="F14" s="36" t="s">
        <v>87</v>
      </c>
      <c r="G14" s="37" t="s">
        <v>26</v>
      </c>
      <c r="H14" s="38"/>
      <c r="I14" s="19"/>
      <c r="J14" s="39">
        <v>270.0</v>
      </c>
      <c r="K14" s="39">
        <v>160.0</v>
      </c>
      <c r="L14" s="39">
        <v>1529.0</v>
      </c>
      <c r="M14" s="40">
        <v>0.46</v>
      </c>
      <c r="N14" s="41">
        <v>2.0</v>
      </c>
      <c r="O14" s="42" t="s">
        <v>29</v>
      </c>
      <c r="P14" s="43" t="s">
        <v>77</v>
      </c>
      <c r="Q14" s="44">
        <f t="shared" si="7"/>
        <v>5.662962963</v>
      </c>
      <c r="R14" s="45">
        <f t="shared" si="8"/>
        <v>0.04</v>
      </c>
      <c r="S14" s="44">
        <f t="shared" si="9"/>
        <v>5.889481481</v>
      </c>
      <c r="T14" s="37" t="s">
        <v>88</v>
      </c>
      <c r="U14" s="37" t="s">
        <v>89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16.5" customHeight="1">
      <c r="A15" s="7" t="b">
        <v>0</v>
      </c>
      <c r="B15" s="37" t="s">
        <v>90</v>
      </c>
      <c r="C15" s="37" t="s">
        <v>67</v>
      </c>
      <c r="D15" s="37" t="s">
        <v>91</v>
      </c>
      <c r="E15" s="37" t="s">
        <v>92</v>
      </c>
      <c r="F15" s="32" t="s">
        <v>93</v>
      </c>
      <c r="G15" s="37" t="s">
        <v>26</v>
      </c>
      <c r="H15" s="38">
        <v>225000.0</v>
      </c>
      <c r="I15" s="10" t="s">
        <v>27</v>
      </c>
      <c r="J15" s="46">
        <v>540.0</v>
      </c>
      <c r="K15" s="46">
        <v>442.0</v>
      </c>
      <c r="L15" s="46">
        <v>3483.0</v>
      </c>
      <c r="M15" s="45">
        <v>0.54</v>
      </c>
      <c r="N15" s="47">
        <v>2.89</v>
      </c>
      <c r="O15" s="43" t="s">
        <v>29</v>
      </c>
      <c r="P15" s="43" t="s">
        <v>30</v>
      </c>
      <c r="Q15" s="44">
        <f t="shared" si="7"/>
        <v>6.45</v>
      </c>
      <c r="R15" s="45">
        <f t="shared" si="8"/>
        <v>0.04</v>
      </c>
      <c r="S15" s="44">
        <f t="shared" si="9"/>
        <v>6.708</v>
      </c>
      <c r="T15" s="37" t="s">
        <v>88</v>
      </c>
      <c r="U15" s="37" t="s">
        <v>94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16.5" customHeight="1">
      <c r="A16" s="31" t="b">
        <v>0</v>
      </c>
      <c r="B16" s="6" t="s">
        <v>21</v>
      </c>
      <c r="C16" s="6" t="s">
        <v>67</v>
      </c>
      <c r="D16" s="6" t="s">
        <v>95</v>
      </c>
      <c r="E16" s="6" t="s">
        <v>92</v>
      </c>
      <c r="F16" s="36" t="s">
        <v>96</v>
      </c>
      <c r="G16" s="6" t="s">
        <v>26</v>
      </c>
      <c r="H16" s="19">
        <v>45000.0</v>
      </c>
      <c r="I16" s="10" t="s">
        <v>27</v>
      </c>
      <c r="J16" s="22">
        <v>506.0</v>
      </c>
      <c r="K16" s="22">
        <v>442.0</v>
      </c>
      <c r="L16" s="22">
        <v>3749.0</v>
      </c>
      <c r="M16" s="23">
        <v>0.5</v>
      </c>
      <c r="N16" s="24">
        <v>2.89</v>
      </c>
      <c r="O16" s="26" t="s">
        <v>29</v>
      </c>
      <c r="P16" s="26" t="s">
        <v>30</v>
      </c>
      <c r="Q16" s="27">
        <f t="shared" si="7"/>
        <v>7.409090909</v>
      </c>
      <c r="R16" s="23">
        <f t="shared" si="8"/>
        <v>0</v>
      </c>
      <c r="S16" s="27">
        <f t="shared" si="9"/>
        <v>7.409090909</v>
      </c>
      <c r="T16" s="6" t="s">
        <v>40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6.5" customHeight="1">
      <c r="A17" s="7" t="b">
        <v>0</v>
      </c>
      <c r="B17" s="6" t="s">
        <v>97</v>
      </c>
      <c r="C17" s="6" t="s">
        <v>67</v>
      </c>
      <c r="D17" s="6" t="s">
        <v>98</v>
      </c>
      <c r="E17" s="6" t="s">
        <v>99</v>
      </c>
      <c r="F17" s="17" t="s">
        <v>100</v>
      </c>
      <c r="G17" s="6" t="s">
        <v>26</v>
      </c>
      <c r="H17" s="19">
        <v>343000.0</v>
      </c>
      <c r="I17" s="10" t="s">
        <v>27</v>
      </c>
      <c r="J17" s="22">
        <v>115.0</v>
      </c>
      <c r="K17" s="22">
        <v>105.0</v>
      </c>
      <c r="L17" s="22">
        <v>1676.0</v>
      </c>
      <c r="M17" s="23">
        <v>0.54</v>
      </c>
      <c r="N17" s="24">
        <v>1.57</v>
      </c>
      <c r="O17" s="26" t="s">
        <v>29</v>
      </c>
      <c r="P17" s="26" t="s">
        <v>30</v>
      </c>
      <c r="Q17" s="27">
        <f t="shared" si="7"/>
        <v>14.57391304</v>
      </c>
      <c r="R17" s="23">
        <f t="shared" si="8"/>
        <v>0.04</v>
      </c>
      <c r="S17" s="27">
        <f t="shared" si="9"/>
        <v>15.15686957</v>
      </c>
      <c r="T17" s="6" t="s">
        <v>40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6.5" customHeight="1">
      <c r="A18" s="7" t="b">
        <v>0</v>
      </c>
      <c r="B18" s="5" t="s">
        <v>97</v>
      </c>
      <c r="C18" s="5" t="s">
        <v>67</v>
      </c>
      <c r="D18" s="5" t="s">
        <v>101</v>
      </c>
      <c r="E18" s="5" t="s">
        <v>74</v>
      </c>
      <c r="F18" s="25" t="s">
        <v>102</v>
      </c>
      <c r="G18" s="5" t="s">
        <v>26</v>
      </c>
      <c r="H18" s="9"/>
      <c r="I18" s="48"/>
      <c r="J18" s="9"/>
      <c r="K18" s="9"/>
      <c r="L18" s="9"/>
      <c r="M18" s="28"/>
      <c r="N18" s="29"/>
      <c r="O18" s="30"/>
      <c r="P18" s="30"/>
      <c r="Q18" s="16"/>
      <c r="R18" s="18"/>
      <c r="S18" s="16"/>
      <c r="T18" s="5" t="s">
        <v>103</v>
      </c>
      <c r="U18" s="2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6.5" customHeight="1">
      <c r="A19" s="7" t="b">
        <v>0</v>
      </c>
      <c r="B19" s="37" t="s">
        <v>104</v>
      </c>
      <c r="C19" s="37" t="s">
        <v>67</v>
      </c>
      <c r="D19" s="37" t="s">
        <v>105</v>
      </c>
      <c r="E19" s="37" t="s">
        <v>106</v>
      </c>
      <c r="F19" s="49" t="s">
        <v>107</v>
      </c>
      <c r="G19" s="37" t="s">
        <v>26</v>
      </c>
      <c r="H19" s="38">
        <v>1000000.0</v>
      </c>
      <c r="I19" s="35" t="s">
        <v>76</v>
      </c>
      <c r="J19" s="46">
        <v>680.0</v>
      </c>
      <c r="K19" s="46">
        <v>320.0</v>
      </c>
      <c r="L19" s="46">
        <v>1819.0</v>
      </c>
      <c r="M19" s="45">
        <v>0.46</v>
      </c>
      <c r="N19" s="47">
        <v>3.5</v>
      </c>
      <c r="O19" s="43" t="s">
        <v>29</v>
      </c>
      <c r="P19" s="43" t="s">
        <v>77</v>
      </c>
      <c r="Q19" s="44">
        <f t="shared" ref="Q19:Q23" si="10">L19/J19</f>
        <v>2.675</v>
      </c>
      <c r="R19" s="45">
        <f t="shared" ref="R19:R23" si="11">0+((ABS(0.5-M19)*1))</f>
        <v>0.04</v>
      </c>
      <c r="S19" s="44">
        <f t="shared" ref="S19:S23" si="12">Q19*(R19+1)</f>
        <v>2.782</v>
      </c>
      <c r="T19" s="37" t="s">
        <v>88</v>
      </c>
      <c r="U19" s="37" t="s">
        <v>94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6.5" customHeight="1">
      <c r="A20" s="7" t="b">
        <v>0</v>
      </c>
      <c r="B20" s="6" t="s">
        <v>90</v>
      </c>
      <c r="C20" s="6" t="s">
        <v>109</v>
      </c>
      <c r="D20" s="6" t="s">
        <v>110</v>
      </c>
      <c r="E20" s="6" t="s">
        <v>111</v>
      </c>
      <c r="F20" s="25" t="s">
        <v>112</v>
      </c>
      <c r="G20" s="6" t="s">
        <v>52</v>
      </c>
      <c r="H20" s="19">
        <v>160000.0</v>
      </c>
      <c r="I20" s="34" t="s">
        <v>62</v>
      </c>
      <c r="J20" s="22">
        <v>495.0</v>
      </c>
      <c r="K20" s="22">
        <v>450.0</v>
      </c>
      <c r="L20" s="22">
        <v>3750.0</v>
      </c>
      <c r="M20" s="23">
        <v>0.38</v>
      </c>
      <c r="N20" s="24">
        <v>6.16</v>
      </c>
      <c r="O20" s="26" t="s">
        <v>29</v>
      </c>
      <c r="P20" s="26" t="s">
        <v>29</v>
      </c>
      <c r="Q20" s="27">
        <f t="shared" si="10"/>
        <v>7.575757576</v>
      </c>
      <c r="R20" s="23">
        <f t="shared" si="11"/>
        <v>0.12</v>
      </c>
      <c r="S20" s="27">
        <f t="shared" si="12"/>
        <v>8.484848485</v>
      </c>
      <c r="T20" s="6" t="s">
        <v>40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6.5" customHeight="1">
      <c r="A21" s="7" t="b">
        <v>0</v>
      </c>
      <c r="B21" s="6" t="s">
        <v>58</v>
      </c>
      <c r="C21" s="6" t="s">
        <v>109</v>
      </c>
      <c r="D21" s="6" t="s">
        <v>113</v>
      </c>
      <c r="E21" s="6" t="s">
        <v>114</v>
      </c>
      <c r="F21" s="8" t="s">
        <v>115</v>
      </c>
      <c r="G21" s="6" t="s">
        <v>52</v>
      </c>
      <c r="H21" s="19">
        <v>300000.0</v>
      </c>
      <c r="I21" s="34" t="s">
        <v>62</v>
      </c>
      <c r="J21" s="22">
        <v>430.0</v>
      </c>
      <c r="K21" s="22">
        <v>430.0</v>
      </c>
      <c r="L21" s="22">
        <v>5750.0</v>
      </c>
      <c r="M21" s="23">
        <v>0.47</v>
      </c>
      <c r="N21" s="24">
        <v>6.16</v>
      </c>
      <c r="O21" s="26" t="s">
        <v>29</v>
      </c>
      <c r="P21" s="26" t="s">
        <v>30</v>
      </c>
      <c r="Q21" s="27">
        <f t="shared" si="10"/>
        <v>13.37209302</v>
      </c>
      <c r="R21" s="23">
        <f t="shared" si="11"/>
        <v>0.03</v>
      </c>
      <c r="S21" s="27">
        <f t="shared" si="12"/>
        <v>13.77325581</v>
      </c>
      <c r="T21" s="6" t="s">
        <v>40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6.5" customHeight="1">
      <c r="A22" s="7" t="b">
        <v>0</v>
      </c>
      <c r="B22" s="6" t="s">
        <v>116</v>
      </c>
      <c r="C22" s="6" t="s">
        <v>109</v>
      </c>
      <c r="D22" s="6" t="s">
        <v>117</v>
      </c>
      <c r="E22" s="6" t="s">
        <v>111</v>
      </c>
      <c r="F22" s="25" t="s">
        <v>102</v>
      </c>
      <c r="G22" s="6" t="s">
        <v>52</v>
      </c>
      <c r="H22" s="19">
        <v>45000.0</v>
      </c>
      <c r="I22" s="34" t="s">
        <v>62</v>
      </c>
      <c r="J22" s="22">
        <v>195.0</v>
      </c>
      <c r="K22" s="22">
        <v>190.0</v>
      </c>
      <c r="L22" s="22">
        <v>2200.0</v>
      </c>
      <c r="M22" s="23">
        <v>0.45</v>
      </c>
      <c r="N22" s="24">
        <v>2.38</v>
      </c>
      <c r="O22" s="26" t="s">
        <v>29</v>
      </c>
      <c r="P22" s="26" t="s">
        <v>29</v>
      </c>
      <c r="Q22" s="27">
        <f t="shared" si="10"/>
        <v>11.28205128</v>
      </c>
      <c r="R22" s="23">
        <f t="shared" si="11"/>
        <v>0.05</v>
      </c>
      <c r="S22" s="27">
        <f t="shared" si="12"/>
        <v>11.84615385</v>
      </c>
      <c r="T22" s="6" t="s">
        <v>40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6.5" customHeight="1">
      <c r="A23" s="7" t="b">
        <v>0</v>
      </c>
      <c r="B23" s="6" t="s">
        <v>118</v>
      </c>
      <c r="C23" s="6" t="s">
        <v>119</v>
      </c>
      <c r="D23" s="6" t="s">
        <v>120</v>
      </c>
      <c r="E23" s="6" t="s">
        <v>114</v>
      </c>
      <c r="F23" s="36" t="s">
        <v>121</v>
      </c>
      <c r="G23" s="6" t="s">
        <v>52</v>
      </c>
      <c r="H23" s="19">
        <v>850000.0</v>
      </c>
      <c r="I23" s="35" t="s">
        <v>76</v>
      </c>
      <c r="J23" s="22">
        <v>965.0</v>
      </c>
      <c r="K23" s="22">
        <v>905.0</v>
      </c>
      <c r="L23" s="22">
        <v>5071.0</v>
      </c>
      <c r="M23" s="23">
        <v>0.54</v>
      </c>
      <c r="N23" s="24">
        <v>8.0</v>
      </c>
      <c r="O23" s="26" t="s">
        <v>71</v>
      </c>
      <c r="P23" s="26" t="s">
        <v>30</v>
      </c>
      <c r="Q23" s="27">
        <f t="shared" si="10"/>
        <v>5.25492228</v>
      </c>
      <c r="R23" s="23">
        <f t="shared" si="11"/>
        <v>0.04</v>
      </c>
      <c r="S23" s="27">
        <f t="shared" si="12"/>
        <v>5.465119171</v>
      </c>
      <c r="T23" s="6" t="s">
        <v>122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6.5" customHeight="1">
      <c r="A24" s="7" t="b">
        <v>0</v>
      </c>
      <c r="B24" s="5" t="s">
        <v>123</v>
      </c>
      <c r="C24" s="5" t="s">
        <v>124</v>
      </c>
      <c r="D24" s="5" t="s">
        <v>125</v>
      </c>
      <c r="E24" s="5" t="s">
        <v>126</v>
      </c>
      <c r="F24" s="49" t="s">
        <v>127</v>
      </c>
      <c r="G24" s="5" t="s">
        <v>128</v>
      </c>
      <c r="H24" s="9"/>
      <c r="I24" s="48"/>
      <c r="J24" s="9"/>
      <c r="K24" s="9"/>
      <c r="L24" s="9"/>
      <c r="M24" s="28"/>
      <c r="N24" s="29"/>
      <c r="O24" s="30"/>
      <c r="P24" s="30"/>
      <c r="Q24" s="16"/>
      <c r="R24" s="18"/>
      <c r="S24" s="16"/>
      <c r="T24" s="5" t="s">
        <v>129</v>
      </c>
      <c r="U24" s="21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6.5" customHeight="1">
      <c r="A25" s="7" t="b">
        <v>0</v>
      </c>
      <c r="B25" s="6" t="s">
        <v>130</v>
      </c>
      <c r="C25" s="6" t="s">
        <v>131</v>
      </c>
      <c r="D25" s="6" t="s">
        <v>132</v>
      </c>
      <c r="E25" s="6" t="s">
        <v>126</v>
      </c>
      <c r="F25" s="50" t="s">
        <v>133</v>
      </c>
      <c r="G25" s="6" t="s">
        <v>134</v>
      </c>
      <c r="H25" s="19">
        <v>190000.0</v>
      </c>
      <c r="I25" s="34" t="s">
        <v>62</v>
      </c>
      <c r="J25" s="22">
        <v>475.0</v>
      </c>
      <c r="K25" s="22">
        <v>268.0</v>
      </c>
      <c r="L25" s="22">
        <v>1433.0</v>
      </c>
      <c r="M25" s="23">
        <v>0.36</v>
      </c>
      <c r="N25" s="24">
        <v>2.97</v>
      </c>
      <c r="O25" s="26" t="s">
        <v>29</v>
      </c>
      <c r="P25" s="26" t="s">
        <v>77</v>
      </c>
      <c r="Q25" s="27">
        <f t="shared" ref="Q25:Q29" si="13">L25/J25</f>
        <v>3.016842105</v>
      </c>
      <c r="R25" s="23">
        <f t="shared" ref="R25:R29" si="14">0+((ABS(0.5-M25)*1))</f>
        <v>0.14</v>
      </c>
      <c r="S25" s="27">
        <f t="shared" ref="S25:S29" si="15">Q25*(R25+1)</f>
        <v>3.4392</v>
      </c>
      <c r="T25" s="6" t="s">
        <v>40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6.5" customHeight="1">
      <c r="A26" s="7" t="b">
        <v>0</v>
      </c>
      <c r="B26" s="6" t="s">
        <v>41</v>
      </c>
      <c r="C26" s="6" t="s">
        <v>131</v>
      </c>
      <c r="D26" s="6" t="s">
        <v>135</v>
      </c>
      <c r="E26" s="6" t="s">
        <v>111</v>
      </c>
      <c r="F26" s="36" t="s">
        <v>136</v>
      </c>
      <c r="G26" s="6" t="s">
        <v>134</v>
      </c>
      <c r="H26" s="19">
        <v>54000.0</v>
      </c>
      <c r="I26" s="10" t="s">
        <v>27</v>
      </c>
      <c r="J26" s="22">
        <v>235.0</v>
      </c>
      <c r="K26" s="22">
        <v>221.0</v>
      </c>
      <c r="L26" s="22">
        <v>1477.0</v>
      </c>
      <c r="M26" s="23">
        <v>0.38</v>
      </c>
      <c r="N26" s="24">
        <v>2.35</v>
      </c>
      <c r="O26" s="26" t="s">
        <v>29</v>
      </c>
      <c r="P26" s="26" t="s">
        <v>29</v>
      </c>
      <c r="Q26" s="27">
        <f t="shared" si="13"/>
        <v>6.285106383</v>
      </c>
      <c r="R26" s="23">
        <f t="shared" si="14"/>
        <v>0.12</v>
      </c>
      <c r="S26" s="27">
        <f t="shared" si="15"/>
        <v>7.039319149</v>
      </c>
      <c r="T26" s="6" t="s">
        <v>137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6.5" customHeight="1">
      <c r="A27" s="7" t="b">
        <v>0</v>
      </c>
      <c r="B27" s="6" t="s">
        <v>21</v>
      </c>
      <c r="C27" s="6" t="s">
        <v>139</v>
      </c>
      <c r="D27" s="6" t="s">
        <v>140</v>
      </c>
      <c r="E27" s="6" t="s">
        <v>141</v>
      </c>
      <c r="F27" s="36" t="s">
        <v>142</v>
      </c>
      <c r="G27" s="6" t="s">
        <v>134</v>
      </c>
      <c r="H27" s="19">
        <v>175000.0</v>
      </c>
      <c r="I27" s="34" t="s">
        <v>62</v>
      </c>
      <c r="J27" s="22">
        <v>608.0</v>
      </c>
      <c r="K27" s="22">
        <v>516.0</v>
      </c>
      <c r="L27" s="22">
        <v>4134.0</v>
      </c>
      <c r="M27" s="23">
        <v>0.51</v>
      </c>
      <c r="N27" s="24">
        <v>5.2</v>
      </c>
      <c r="O27" s="26" t="s">
        <v>29</v>
      </c>
      <c r="P27" s="26" t="s">
        <v>30</v>
      </c>
      <c r="Q27" s="27">
        <f t="shared" si="13"/>
        <v>6.799342105</v>
      </c>
      <c r="R27" s="23">
        <f t="shared" si="14"/>
        <v>0.01</v>
      </c>
      <c r="S27" s="27">
        <f t="shared" si="15"/>
        <v>6.867335526</v>
      </c>
      <c r="T27" s="6" t="s">
        <v>40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6.5" customHeight="1">
      <c r="A28" s="7" t="b">
        <v>0</v>
      </c>
      <c r="B28" s="6" t="s">
        <v>143</v>
      </c>
      <c r="C28" s="6" t="s">
        <v>139</v>
      </c>
      <c r="D28" s="6" t="s">
        <v>144</v>
      </c>
      <c r="E28" s="6" t="s">
        <v>99</v>
      </c>
      <c r="F28" s="8" t="s">
        <v>145</v>
      </c>
      <c r="G28" s="6" t="s">
        <v>134</v>
      </c>
      <c r="H28" s="19">
        <v>500000.0</v>
      </c>
      <c r="I28" s="34" t="s">
        <v>62</v>
      </c>
      <c r="J28" s="22">
        <v>282.0</v>
      </c>
      <c r="K28" s="22">
        <v>282.0</v>
      </c>
      <c r="L28" s="22">
        <v>3230.0</v>
      </c>
      <c r="M28" s="23">
        <v>0.51</v>
      </c>
      <c r="N28" s="24">
        <v>4.0</v>
      </c>
      <c r="O28" s="26" t="s">
        <v>29</v>
      </c>
      <c r="P28" s="26" t="s">
        <v>30</v>
      </c>
      <c r="Q28" s="27">
        <f t="shared" si="13"/>
        <v>11.45390071</v>
      </c>
      <c r="R28" s="23">
        <f t="shared" si="14"/>
        <v>0.01</v>
      </c>
      <c r="S28" s="27">
        <f t="shared" si="15"/>
        <v>11.56843972</v>
      </c>
      <c r="T28" s="6" t="s">
        <v>72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6.5" customHeight="1">
      <c r="A29" s="7" t="b">
        <v>0</v>
      </c>
      <c r="B29" s="37" t="s">
        <v>146</v>
      </c>
      <c r="C29" s="37" t="s">
        <v>139</v>
      </c>
      <c r="D29" s="37" t="s">
        <v>147</v>
      </c>
      <c r="E29" s="37" t="s">
        <v>148</v>
      </c>
      <c r="F29" s="25" t="s">
        <v>149</v>
      </c>
      <c r="G29" s="37" t="s">
        <v>134</v>
      </c>
      <c r="H29" s="38">
        <v>80000.0</v>
      </c>
      <c r="I29" s="10" t="s">
        <v>27</v>
      </c>
      <c r="J29" s="46">
        <v>435.0</v>
      </c>
      <c r="K29" s="46">
        <v>410.0</v>
      </c>
      <c r="L29" s="46">
        <v>3968.0</v>
      </c>
      <c r="M29" s="45">
        <v>0.55</v>
      </c>
      <c r="N29" s="47">
        <v>5.94</v>
      </c>
      <c r="O29" s="43" t="s">
        <v>29</v>
      </c>
      <c r="P29" s="43" t="s">
        <v>30</v>
      </c>
      <c r="Q29" s="44">
        <f t="shared" si="13"/>
        <v>9.12183908</v>
      </c>
      <c r="R29" s="45">
        <f t="shared" si="14"/>
        <v>0.05</v>
      </c>
      <c r="S29" s="44">
        <f t="shared" si="15"/>
        <v>9.577931034</v>
      </c>
      <c r="T29" s="37" t="s">
        <v>88</v>
      </c>
      <c r="U29" s="37" t="s">
        <v>89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6.5" customHeight="1">
      <c r="A30" s="7" t="b">
        <v>0</v>
      </c>
      <c r="B30" s="5" t="s">
        <v>123</v>
      </c>
      <c r="C30" s="5" t="s">
        <v>139</v>
      </c>
      <c r="D30" s="5" t="s">
        <v>150</v>
      </c>
      <c r="E30" s="5" t="s">
        <v>141</v>
      </c>
      <c r="F30" s="32" t="s">
        <v>151</v>
      </c>
      <c r="G30" s="5" t="s">
        <v>134</v>
      </c>
      <c r="H30" s="9"/>
      <c r="I30" s="48"/>
      <c r="J30" s="9"/>
      <c r="K30" s="9"/>
      <c r="L30" s="9"/>
      <c r="M30" s="28"/>
      <c r="N30" s="29"/>
      <c r="O30" s="30"/>
      <c r="P30" s="30"/>
      <c r="Q30" s="16"/>
      <c r="R30" s="18"/>
      <c r="S30" s="16"/>
      <c r="T30" s="5" t="s">
        <v>129</v>
      </c>
      <c r="U30" s="21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6.5" customHeight="1">
      <c r="A31" s="7" t="b">
        <v>0</v>
      </c>
      <c r="B31" s="5" t="s">
        <v>90</v>
      </c>
      <c r="C31" s="5" t="s">
        <v>139</v>
      </c>
      <c r="D31" s="5" t="s">
        <v>152</v>
      </c>
      <c r="E31" s="5" t="s">
        <v>153</v>
      </c>
      <c r="F31" s="36" t="s">
        <v>154</v>
      </c>
      <c r="G31" s="5" t="s">
        <v>134</v>
      </c>
      <c r="H31" s="9">
        <v>250000.0</v>
      </c>
      <c r="I31" s="10" t="s">
        <v>27</v>
      </c>
      <c r="J31" s="9"/>
      <c r="K31" s="9"/>
      <c r="L31" s="9"/>
      <c r="M31" s="28"/>
      <c r="N31" s="29"/>
      <c r="O31" s="30"/>
      <c r="P31" s="30"/>
      <c r="Q31" s="16"/>
      <c r="R31" s="18"/>
      <c r="S31" s="16"/>
      <c r="T31" s="5" t="s">
        <v>34</v>
      </c>
      <c r="U31" s="2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6.5" customHeight="1">
      <c r="A32" s="7" t="b">
        <v>0</v>
      </c>
      <c r="B32" s="5" t="s">
        <v>123</v>
      </c>
      <c r="C32" s="5" t="s">
        <v>139</v>
      </c>
      <c r="D32" s="5" t="s">
        <v>155</v>
      </c>
      <c r="E32" s="5" t="s">
        <v>156</v>
      </c>
      <c r="F32" s="49" t="s">
        <v>157</v>
      </c>
      <c r="G32" s="5" t="s">
        <v>134</v>
      </c>
      <c r="H32" s="9"/>
      <c r="I32" s="48"/>
      <c r="J32" s="9"/>
      <c r="K32" s="9"/>
      <c r="L32" s="9"/>
      <c r="M32" s="28"/>
      <c r="N32" s="29"/>
      <c r="O32" s="30"/>
      <c r="P32" s="30"/>
      <c r="Q32" s="16"/>
      <c r="R32" s="18"/>
      <c r="S32" s="16"/>
      <c r="T32" s="5" t="s">
        <v>129</v>
      </c>
      <c r="U32" s="2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6.5" customHeight="1">
      <c r="A33" s="7" t="b">
        <v>0</v>
      </c>
      <c r="B33" s="6" t="s">
        <v>48</v>
      </c>
      <c r="C33" s="6" t="s">
        <v>139</v>
      </c>
      <c r="D33" s="6" t="s">
        <v>158</v>
      </c>
      <c r="E33" s="6" t="s">
        <v>156</v>
      </c>
      <c r="F33" s="49" t="s">
        <v>159</v>
      </c>
      <c r="G33" s="6" t="s">
        <v>134</v>
      </c>
      <c r="H33" s="19">
        <v>2750000.0</v>
      </c>
      <c r="I33" s="35" t="s">
        <v>76</v>
      </c>
      <c r="J33" s="22">
        <v>1140.0</v>
      </c>
      <c r="K33" s="22">
        <v>663.0</v>
      </c>
      <c r="L33" s="22">
        <v>2976.0</v>
      </c>
      <c r="M33" s="23">
        <v>0.4</v>
      </c>
      <c r="N33" s="24">
        <v>6.5</v>
      </c>
      <c r="O33" s="26" t="s">
        <v>29</v>
      </c>
      <c r="P33" s="26" t="s">
        <v>77</v>
      </c>
      <c r="Q33" s="27">
        <f t="shared" ref="Q33:Q39" si="16">L33/J33</f>
        <v>2.610526316</v>
      </c>
      <c r="R33" s="23">
        <f t="shared" ref="R33:R39" si="17">0+((ABS(0.5-M33)*1))</f>
        <v>0.1</v>
      </c>
      <c r="S33" s="27">
        <f t="shared" ref="S33:S39" si="18">Q33*(R33+1)</f>
        <v>2.871578947</v>
      </c>
      <c r="T33" s="6" t="s">
        <v>40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16.5" customHeight="1">
      <c r="A34" s="7" t="b">
        <v>0</v>
      </c>
      <c r="B34" s="6" t="s">
        <v>58</v>
      </c>
      <c r="C34" s="6" t="s">
        <v>139</v>
      </c>
      <c r="D34" s="6" t="s">
        <v>160</v>
      </c>
      <c r="E34" s="6" t="s">
        <v>126</v>
      </c>
      <c r="F34" s="49" t="s">
        <v>161</v>
      </c>
      <c r="G34" s="6" t="s">
        <v>134</v>
      </c>
      <c r="H34" s="19">
        <v>4200000.0</v>
      </c>
      <c r="I34" s="35" t="s">
        <v>76</v>
      </c>
      <c r="J34" s="22">
        <v>1000.0</v>
      </c>
      <c r="K34" s="22">
        <v>545.0</v>
      </c>
      <c r="L34" s="22">
        <v>2370.0</v>
      </c>
      <c r="M34" s="23">
        <v>0.42</v>
      </c>
      <c r="N34" s="24">
        <v>6.5</v>
      </c>
      <c r="O34" s="26" t="s">
        <v>29</v>
      </c>
      <c r="P34" s="26" t="s">
        <v>77</v>
      </c>
      <c r="Q34" s="27">
        <f t="shared" si="16"/>
        <v>2.37</v>
      </c>
      <c r="R34" s="23">
        <f t="shared" si="17"/>
        <v>0.08</v>
      </c>
      <c r="S34" s="27">
        <f t="shared" si="18"/>
        <v>2.5596</v>
      </c>
      <c r="T34" s="6" t="s">
        <v>137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16.5" customHeight="1">
      <c r="A35" s="7" t="b">
        <v>0</v>
      </c>
      <c r="B35" s="6" t="s">
        <v>123</v>
      </c>
      <c r="C35" s="6" t="s">
        <v>139</v>
      </c>
      <c r="D35" s="6" t="s">
        <v>162</v>
      </c>
      <c r="E35" s="6" t="s">
        <v>84</v>
      </c>
      <c r="F35" s="36" t="s">
        <v>87</v>
      </c>
      <c r="G35" s="6" t="s">
        <v>134</v>
      </c>
      <c r="H35" s="19">
        <v>250000.0</v>
      </c>
      <c r="I35" s="34" t="s">
        <v>62</v>
      </c>
      <c r="J35" s="22">
        <v>503.0</v>
      </c>
      <c r="K35" s="22">
        <v>505.0</v>
      </c>
      <c r="L35" s="22">
        <v>3497.0</v>
      </c>
      <c r="M35" s="23">
        <v>0.5</v>
      </c>
      <c r="N35" s="24">
        <v>3.98</v>
      </c>
      <c r="O35" s="26" t="s">
        <v>29</v>
      </c>
      <c r="P35" s="26" t="s">
        <v>30</v>
      </c>
      <c r="Q35" s="27">
        <f t="shared" si="16"/>
        <v>6.952286282</v>
      </c>
      <c r="R35" s="23">
        <f t="shared" si="17"/>
        <v>0</v>
      </c>
      <c r="S35" s="27">
        <f t="shared" si="18"/>
        <v>6.952286282</v>
      </c>
      <c r="T35" s="6" t="s">
        <v>72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6.5" customHeight="1">
      <c r="A36" s="7" t="b">
        <v>0</v>
      </c>
      <c r="B36" s="6" t="s">
        <v>41</v>
      </c>
      <c r="C36" s="6" t="s">
        <v>139</v>
      </c>
      <c r="D36" s="6" t="s">
        <v>163</v>
      </c>
      <c r="E36" s="6" t="s">
        <v>126</v>
      </c>
      <c r="F36" s="50" t="s">
        <v>164</v>
      </c>
      <c r="G36" s="6" t="s">
        <v>134</v>
      </c>
      <c r="H36" s="19">
        <v>2300000.0</v>
      </c>
      <c r="I36" s="35" t="s">
        <v>76</v>
      </c>
      <c r="J36" s="22">
        <v>820.0</v>
      </c>
      <c r="K36" s="22">
        <v>590.0</v>
      </c>
      <c r="L36" s="22">
        <v>2998.0</v>
      </c>
      <c r="M36" s="23">
        <v>0.54</v>
      </c>
      <c r="N36" s="24">
        <v>6.95</v>
      </c>
      <c r="O36" s="26" t="s">
        <v>29</v>
      </c>
      <c r="P36" s="26" t="s">
        <v>30</v>
      </c>
      <c r="Q36" s="27">
        <f t="shared" si="16"/>
        <v>3.656097561</v>
      </c>
      <c r="R36" s="23">
        <f t="shared" si="17"/>
        <v>0.04</v>
      </c>
      <c r="S36" s="27">
        <f t="shared" si="18"/>
        <v>3.802341463</v>
      </c>
      <c r="T36" s="6" t="s">
        <v>165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6.5" customHeight="1">
      <c r="A37" s="7" t="b">
        <v>0</v>
      </c>
      <c r="B37" s="6" t="s">
        <v>21</v>
      </c>
      <c r="C37" s="6" t="s">
        <v>139</v>
      </c>
      <c r="D37" s="6" t="s">
        <v>166</v>
      </c>
      <c r="E37" s="6" t="s">
        <v>126</v>
      </c>
      <c r="F37" s="50" t="s">
        <v>167</v>
      </c>
      <c r="G37" s="6" t="s">
        <v>134</v>
      </c>
      <c r="H37" s="19">
        <v>3000000.0</v>
      </c>
      <c r="I37" s="35" t="s">
        <v>76</v>
      </c>
      <c r="J37" s="22">
        <v>820.0</v>
      </c>
      <c r="K37" s="22">
        <v>590.0</v>
      </c>
      <c r="L37" s="22">
        <v>2998.0</v>
      </c>
      <c r="M37" s="23">
        <v>0.54</v>
      </c>
      <c r="N37" s="24">
        <v>6.95</v>
      </c>
      <c r="O37" s="26" t="s">
        <v>29</v>
      </c>
      <c r="P37" s="26" t="s">
        <v>30</v>
      </c>
      <c r="Q37" s="27">
        <f t="shared" si="16"/>
        <v>3.656097561</v>
      </c>
      <c r="R37" s="23">
        <f t="shared" si="17"/>
        <v>0.04</v>
      </c>
      <c r="S37" s="27">
        <f t="shared" si="18"/>
        <v>3.802341463</v>
      </c>
      <c r="T37" s="6" t="s">
        <v>40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6.5" customHeight="1">
      <c r="A38" s="7" t="b">
        <v>0</v>
      </c>
      <c r="B38" s="6" t="s">
        <v>168</v>
      </c>
      <c r="C38" s="6" t="s">
        <v>169</v>
      </c>
      <c r="D38" s="6" t="s">
        <v>170</v>
      </c>
      <c r="E38" s="6" t="s">
        <v>171</v>
      </c>
      <c r="F38" s="32" t="s">
        <v>172</v>
      </c>
      <c r="G38" s="6" t="s">
        <v>128</v>
      </c>
      <c r="H38" s="19">
        <v>750000.0</v>
      </c>
      <c r="I38" s="35" t="s">
        <v>76</v>
      </c>
      <c r="J38" s="22">
        <v>469.0</v>
      </c>
      <c r="K38" s="22">
        <v>354.0</v>
      </c>
      <c r="L38" s="22">
        <v>2403.0</v>
      </c>
      <c r="M38" s="23">
        <v>0.52</v>
      </c>
      <c r="N38" s="24">
        <v>2.11</v>
      </c>
      <c r="O38" s="26" t="s">
        <v>71</v>
      </c>
      <c r="P38" s="26" t="s">
        <v>30</v>
      </c>
      <c r="Q38" s="27">
        <f t="shared" si="16"/>
        <v>5.123667377</v>
      </c>
      <c r="R38" s="23">
        <f t="shared" si="17"/>
        <v>0.02</v>
      </c>
      <c r="S38" s="27">
        <f t="shared" si="18"/>
        <v>5.226140725</v>
      </c>
      <c r="T38" s="6" t="s">
        <v>40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6.5" customHeight="1">
      <c r="A39" s="7" t="b">
        <v>0</v>
      </c>
      <c r="B39" s="37" t="s">
        <v>48</v>
      </c>
      <c r="C39" s="37" t="s">
        <v>169</v>
      </c>
      <c r="D39" s="37" t="s">
        <v>173</v>
      </c>
      <c r="E39" s="37" t="s">
        <v>60</v>
      </c>
      <c r="F39" s="32" t="s">
        <v>174</v>
      </c>
      <c r="G39" s="37" t="s">
        <v>128</v>
      </c>
      <c r="H39" s="38">
        <v>250000.0</v>
      </c>
      <c r="I39" s="34" t="s">
        <v>62</v>
      </c>
      <c r="J39" s="46">
        <v>611.0</v>
      </c>
      <c r="K39" s="46">
        <v>416.0</v>
      </c>
      <c r="L39" s="46">
        <v>3516.0</v>
      </c>
      <c r="M39" s="45">
        <v>0.4</v>
      </c>
      <c r="N39" s="47">
        <v>5.2</v>
      </c>
      <c r="O39" s="43" t="s">
        <v>29</v>
      </c>
      <c r="P39" s="43" t="s">
        <v>77</v>
      </c>
      <c r="Q39" s="44">
        <f t="shared" si="16"/>
        <v>5.754500818</v>
      </c>
      <c r="R39" s="45">
        <f t="shared" si="17"/>
        <v>0.1</v>
      </c>
      <c r="S39" s="44">
        <f t="shared" si="18"/>
        <v>6.3299509</v>
      </c>
      <c r="T39" s="37" t="s">
        <v>88</v>
      </c>
      <c r="U39" s="37" t="s">
        <v>89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6.5" customHeight="1">
      <c r="A40" s="7" t="b">
        <v>0</v>
      </c>
      <c r="B40" s="5" t="s">
        <v>130</v>
      </c>
      <c r="C40" s="5" t="s">
        <v>169</v>
      </c>
      <c r="D40" s="51" t="s">
        <v>175</v>
      </c>
      <c r="E40" s="5" t="s">
        <v>60</v>
      </c>
      <c r="F40" s="36" t="s">
        <v>176</v>
      </c>
      <c r="G40" s="5" t="s">
        <v>128</v>
      </c>
      <c r="H40" s="9"/>
      <c r="I40" s="48"/>
      <c r="J40" s="9"/>
      <c r="K40" s="9"/>
      <c r="L40" s="9"/>
      <c r="M40" s="28"/>
      <c r="N40" s="29"/>
      <c r="O40" s="30"/>
      <c r="P40" s="30"/>
      <c r="Q40" s="16"/>
      <c r="R40" s="18"/>
      <c r="S40" s="16"/>
      <c r="T40" s="5" t="s">
        <v>103</v>
      </c>
      <c r="U40" s="21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6.5" customHeight="1">
      <c r="A41" s="7" t="b">
        <v>0</v>
      </c>
      <c r="B41" s="6" t="s">
        <v>177</v>
      </c>
      <c r="C41" s="6" t="s">
        <v>169</v>
      </c>
      <c r="D41" s="6" t="s">
        <v>178</v>
      </c>
      <c r="E41" s="6" t="s">
        <v>126</v>
      </c>
      <c r="F41" s="50" t="s">
        <v>179</v>
      </c>
      <c r="G41" s="6" t="s">
        <v>128</v>
      </c>
      <c r="H41" s="19">
        <v>900000.0</v>
      </c>
      <c r="I41" s="10" t="s">
        <v>27</v>
      </c>
      <c r="J41" s="22">
        <v>643.0</v>
      </c>
      <c r="K41" s="22">
        <v>375.0</v>
      </c>
      <c r="L41" s="22">
        <v>3064.0</v>
      </c>
      <c r="M41" s="23">
        <v>0.42</v>
      </c>
      <c r="N41" s="24">
        <v>5.2</v>
      </c>
      <c r="O41" s="26" t="s">
        <v>29</v>
      </c>
      <c r="P41" s="26" t="s">
        <v>77</v>
      </c>
      <c r="Q41" s="27">
        <f t="shared" ref="Q41:Q58" si="19">L41/J41</f>
        <v>4.765163297</v>
      </c>
      <c r="R41" s="23">
        <f t="shared" ref="R41:R58" si="20">0+((ABS(0.5-M41)*1))</f>
        <v>0.08</v>
      </c>
      <c r="S41" s="27">
        <f t="shared" ref="S41:S58" si="21">Q41*(R41+1)</f>
        <v>5.146376361</v>
      </c>
      <c r="T41" s="6" t="s">
        <v>40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6.5" customHeight="1">
      <c r="A42" s="7" t="b">
        <v>0</v>
      </c>
      <c r="B42" s="6" t="s">
        <v>180</v>
      </c>
      <c r="C42" s="6" t="s">
        <v>169</v>
      </c>
      <c r="D42" s="6" t="s">
        <v>181</v>
      </c>
      <c r="E42" s="6" t="s">
        <v>60</v>
      </c>
      <c r="F42" s="32" t="s">
        <v>182</v>
      </c>
      <c r="G42" s="6" t="s">
        <v>128</v>
      </c>
      <c r="H42" s="19">
        <v>281000.0</v>
      </c>
      <c r="I42" s="10" t="s">
        <v>27</v>
      </c>
      <c r="J42" s="22">
        <v>602.0</v>
      </c>
      <c r="K42" s="22">
        <v>413.0</v>
      </c>
      <c r="L42" s="22">
        <v>3638.0</v>
      </c>
      <c r="M42" s="23">
        <v>0.41</v>
      </c>
      <c r="N42" s="24">
        <v>5.2</v>
      </c>
      <c r="O42" s="26" t="s">
        <v>71</v>
      </c>
      <c r="P42" s="26" t="s">
        <v>77</v>
      </c>
      <c r="Q42" s="27">
        <f t="shared" si="19"/>
        <v>6.043189369</v>
      </c>
      <c r="R42" s="23">
        <f t="shared" si="20"/>
        <v>0.09</v>
      </c>
      <c r="S42" s="27">
        <f t="shared" si="21"/>
        <v>6.587076412</v>
      </c>
      <c r="T42" s="6" t="s">
        <v>40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16.5" customHeight="1">
      <c r="A43" s="7" t="b">
        <v>0</v>
      </c>
      <c r="B43" s="6" t="s">
        <v>41</v>
      </c>
      <c r="C43" s="6" t="s">
        <v>169</v>
      </c>
      <c r="D43" s="6" t="s">
        <v>183</v>
      </c>
      <c r="E43" s="6" t="s">
        <v>60</v>
      </c>
      <c r="F43" s="32" t="s">
        <v>184</v>
      </c>
      <c r="G43" s="6" t="s">
        <v>128</v>
      </c>
      <c r="H43" s="19">
        <v>160000.0</v>
      </c>
      <c r="I43" s="34" t="s">
        <v>62</v>
      </c>
      <c r="J43" s="22">
        <v>602.0</v>
      </c>
      <c r="K43" s="22">
        <v>413.0</v>
      </c>
      <c r="L43" s="22">
        <v>3428.0</v>
      </c>
      <c r="M43" s="23">
        <v>0.44</v>
      </c>
      <c r="N43" s="24">
        <v>5.2</v>
      </c>
      <c r="O43" s="26" t="s">
        <v>71</v>
      </c>
      <c r="P43" s="26" t="s">
        <v>77</v>
      </c>
      <c r="Q43" s="27">
        <f t="shared" si="19"/>
        <v>5.694352159</v>
      </c>
      <c r="R43" s="23">
        <f t="shared" si="20"/>
        <v>0.06</v>
      </c>
      <c r="S43" s="27">
        <f t="shared" si="21"/>
        <v>6.036013289</v>
      </c>
      <c r="T43" s="6" t="s">
        <v>40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6.5" customHeight="1">
      <c r="A44" s="7" t="b">
        <v>0</v>
      </c>
      <c r="B44" s="6" t="s">
        <v>180</v>
      </c>
      <c r="C44" s="6" t="s">
        <v>169</v>
      </c>
      <c r="D44" s="6" t="s">
        <v>185</v>
      </c>
      <c r="E44" s="6" t="s">
        <v>92</v>
      </c>
      <c r="F44" s="36" t="s">
        <v>186</v>
      </c>
      <c r="G44" s="6" t="s">
        <v>128</v>
      </c>
      <c r="H44" s="19">
        <v>52000.0</v>
      </c>
      <c r="I44" s="10" t="s">
        <v>27</v>
      </c>
      <c r="J44" s="22">
        <v>394.0</v>
      </c>
      <c r="K44" s="22">
        <v>354.0</v>
      </c>
      <c r="L44" s="22">
        <v>3593.0</v>
      </c>
      <c r="M44" s="23">
        <v>0.58</v>
      </c>
      <c r="N44" s="24">
        <v>2.48</v>
      </c>
      <c r="O44" s="26" t="s">
        <v>71</v>
      </c>
      <c r="P44" s="26" t="s">
        <v>30</v>
      </c>
      <c r="Q44" s="27">
        <f t="shared" si="19"/>
        <v>9.11928934</v>
      </c>
      <c r="R44" s="23">
        <f t="shared" si="20"/>
        <v>0.08</v>
      </c>
      <c r="S44" s="27">
        <f t="shared" si="21"/>
        <v>9.848832487</v>
      </c>
      <c r="T44" s="6" t="s">
        <v>40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6.5" customHeight="1">
      <c r="A45" s="7" t="b">
        <v>0</v>
      </c>
      <c r="B45" s="6" t="s">
        <v>187</v>
      </c>
      <c r="C45" s="6" t="s">
        <v>169</v>
      </c>
      <c r="D45" s="6" t="s">
        <v>188</v>
      </c>
      <c r="E45" s="6" t="s">
        <v>189</v>
      </c>
      <c r="F45" s="25" t="s">
        <v>190</v>
      </c>
      <c r="G45" s="6" t="s">
        <v>128</v>
      </c>
      <c r="H45" s="19">
        <v>20000.0</v>
      </c>
      <c r="I45" s="20" t="s">
        <v>33</v>
      </c>
      <c r="J45" s="22">
        <v>335.0</v>
      </c>
      <c r="K45" s="22">
        <v>332.0</v>
      </c>
      <c r="L45" s="22">
        <v>3472.0</v>
      </c>
      <c r="M45" s="23">
        <v>0.6</v>
      </c>
      <c r="N45" s="24">
        <v>2.48</v>
      </c>
      <c r="O45" s="26" t="s">
        <v>71</v>
      </c>
      <c r="P45" s="26" t="s">
        <v>30</v>
      </c>
      <c r="Q45" s="27">
        <f t="shared" si="19"/>
        <v>10.3641791</v>
      </c>
      <c r="R45" s="23">
        <f t="shared" si="20"/>
        <v>0.1</v>
      </c>
      <c r="S45" s="27">
        <f t="shared" si="21"/>
        <v>11.40059701</v>
      </c>
      <c r="T45" s="6" t="s">
        <v>40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6.5" customHeight="1">
      <c r="A46" s="7" t="b">
        <v>0</v>
      </c>
      <c r="B46" s="6" t="s">
        <v>191</v>
      </c>
      <c r="C46" s="6" t="s">
        <v>169</v>
      </c>
      <c r="D46" s="6" t="s">
        <v>192</v>
      </c>
      <c r="E46" s="6" t="s">
        <v>92</v>
      </c>
      <c r="F46" s="25" t="s">
        <v>75</v>
      </c>
      <c r="G46" s="6" t="s">
        <v>128</v>
      </c>
      <c r="H46" s="19">
        <v>75000.0</v>
      </c>
      <c r="I46" s="10" t="s">
        <v>27</v>
      </c>
      <c r="J46" s="22">
        <v>420.0</v>
      </c>
      <c r="K46" s="22">
        <v>317.0</v>
      </c>
      <c r="L46" s="22">
        <v>3638.0</v>
      </c>
      <c r="M46" s="23">
        <v>0.58</v>
      </c>
      <c r="N46" s="24">
        <v>4.16</v>
      </c>
      <c r="O46" s="26" t="s">
        <v>71</v>
      </c>
      <c r="P46" s="26" t="s">
        <v>30</v>
      </c>
      <c r="Q46" s="27">
        <f t="shared" si="19"/>
        <v>8.661904762</v>
      </c>
      <c r="R46" s="23">
        <f t="shared" si="20"/>
        <v>0.08</v>
      </c>
      <c r="S46" s="27">
        <f t="shared" si="21"/>
        <v>9.354857143</v>
      </c>
      <c r="T46" s="6" t="s">
        <v>40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6.5" customHeight="1">
      <c r="A47" s="7" t="b">
        <v>0</v>
      </c>
      <c r="B47" s="6" t="s">
        <v>54</v>
      </c>
      <c r="C47" s="6" t="s">
        <v>169</v>
      </c>
      <c r="D47" s="6" t="s">
        <v>193</v>
      </c>
      <c r="E47" s="6" t="s">
        <v>69</v>
      </c>
      <c r="F47" s="25" t="s">
        <v>194</v>
      </c>
      <c r="G47" s="6" t="s">
        <v>128</v>
      </c>
      <c r="H47" s="19">
        <v>175000.0</v>
      </c>
      <c r="I47" s="20" t="s">
        <v>33</v>
      </c>
      <c r="J47" s="22">
        <v>375.0</v>
      </c>
      <c r="K47" s="22">
        <v>324.0</v>
      </c>
      <c r="L47" s="22">
        <v>3571.0</v>
      </c>
      <c r="M47" s="23">
        <v>0.58</v>
      </c>
      <c r="N47" s="24">
        <v>2.67</v>
      </c>
      <c r="O47" s="26" t="s">
        <v>71</v>
      </c>
      <c r="P47" s="26" t="s">
        <v>30</v>
      </c>
      <c r="Q47" s="27">
        <f t="shared" si="19"/>
        <v>9.522666667</v>
      </c>
      <c r="R47" s="23">
        <f t="shared" si="20"/>
        <v>0.08</v>
      </c>
      <c r="S47" s="27">
        <f t="shared" si="21"/>
        <v>10.28448</v>
      </c>
      <c r="T47" s="6" t="s">
        <v>40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6.5" customHeight="1">
      <c r="A48" s="7" t="b">
        <v>0</v>
      </c>
      <c r="B48" s="6" t="s">
        <v>130</v>
      </c>
      <c r="C48" s="6" t="s">
        <v>169</v>
      </c>
      <c r="D48" s="6" t="s">
        <v>193</v>
      </c>
      <c r="E48" s="6" t="s">
        <v>92</v>
      </c>
      <c r="F48" s="36" t="s">
        <v>195</v>
      </c>
      <c r="G48" s="6" t="s">
        <v>128</v>
      </c>
      <c r="H48" s="19">
        <v>30000.0</v>
      </c>
      <c r="I48" s="10" t="s">
        <v>27</v>
      </c>
      <c r="J48" s="22">
        <v>444.0</v>
      </c>
      <c r="K48" s="22">
        <v>317.0</v>
      </c>
      <c r="L48" s="22">
        <v>3957.0</v>
      </c>
      <c r="M48" s="23">
        <v>0.53</v>
      </c>
      <c r="N48" s="24">
        <v>4.13</v>
      </c>
      <c r="O48" s="26" t="s">
        <v>71</v>
      </c>
      <c r="P48" s="26" t="s">
        <v>30</v>
      </c>
      <c r="Q48" s="27">
        <f t="shared" si="19"/>
        <v>8.912162162</v>
      </c>
      <c r="R48" s="23">
        <f t="shared" si="20"/>
        <v>0.03</v>
      </c>
      <c r="S48" s="27">
        <f t="shared" si="21"/>
        <v>9.179527027</v>
      </c>
      <c r="T48" s="6" t="s">
        <v>40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6.5" customHeight="1">
      <c r="A49" s="7" t="b">
        <v>0</v>
      </c>
      <c r="B49" s="6" t="s">
        <v>196</v>
      </c>
      <c r="C49" s="6" t="s">
        <v>169</v>
      </c>
      <c r="D49" s="6" t="s">
        <v>193</v>
      </c>
      <c r="E49" s="6" t="s">
        <v>92</v>
      </c>
      <c r="F49" s="36" t="s">
        <v>197</v>
      </c>
      <c r="G49" s="6" t="s">
        <v>128</v>
      </c>
      <c r="H49" s="19">
        <v>50000.0</v>
      </c>
      <c r="I49" s="10" t="s">
        <v>27</v>
      </c>
      <c r="J49" s="22">
        <v>444.0</v>
      </c>
      <c r="K49" s="22">
        <v>442.0</v>
      </c>
      <c r="L49" s="22">
        <v>3946.0</v>
      </c>
      <c r="M49" s="23">
        <v>0.57</v>
      </c>
      <c r="N49" s="24">
        <v>2.89</v>
      </c>
      <c r="O49" s="26" t="s">
        <v>71</v>
      </c>
      <c r="P49" s="26" t="s">
        <v>30</v>
      </c>
      <c r="Q49" s="27">
        <f t="shared" si="19"/>
        <v>8.887387387</v>
      </c>
      <c r="R49" s="23">
        <f t="shared" si="20"/>
        <v>0.07</v>
      </c>
      <c r="S49" s="27">
        <f t="shared" si="21"/>
        <v>9.509504505</v>
      </c>
      <c r="T49" s="6" t="s">
        <v>40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6.5" customHeight="1">
      <c r="A50" s="7" t="b">
        <v>0</v>
      </c>
      <c r="B50" s="6" t="s">
        <v>187</v>
      </c>
      <c r="C50" s="6" t="s">
        <v>169</v>
      </c>
      <c r="D50" s="6" t="s">
        <v>198</v>
      </c>
      <c r="E50" s="6" t="s">
        <v>92</v>
      </c>
      <c r="F50" s="36" t="s">
        <v>199</v>
      </c>
      <c r="G50" s="6" t="s">
        <v>128</v>
      </c>
      <c r="H50" s="19">
        <v>25000.0</v>
      </c>
      <c r="I50" s="10" t="s">
        <v>27</v>
      </c>
      <c r="J50" s="22">
        <v>442.0</v>
      </c>
      <c r="K50" s="22">
        <v>317.0</v>
      </c>
      <c r="L50" s="22">
        <v>3830.0</v>
      </c>
      <c r="M50" s="23">
        <v>0.57</v>
      </c>
      <c r="N50" s="24">
        <v>4.16</v>
      </c>
      <c r="O50" s="26" t="s">
        <v>71</v>
      </c>
      <c r="P50" s="26" t="s">
        <v>30</v>
      </c>
      <c r="Q50" s="27">
        <f t="shared" si="19"/>
        <v>8.665158371</v>
      </c>
      <c r="R50" s="23">
        <f t="shared" si="20"/>
        <v>0.07</v>
      </c>
      <c r="S50" s="27">
        <f t="shared" si="21"/>
        <v>9.271719457</v>
      </c>
      <c r="T50" s="6" t="s">
        <v>40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6.5" customHeight="1">
      <c r="A51" s="7" t="b">
        <v>0</v>
      </c>
      <c r="B51" s="6" t="s">
        <v>146</v>
      </c>
      <c r="C51" s="6" t="s">
        <v>169</v>
      </c>
      <c r="D51" s="6" t="s">
        <v>200</v>
      </c>
      <c r="E51" s="6" t="s">
        <v>69</v>
      </c>
      <c r="F51" s="25" t="s">
        <v>201</v>
      </c>
      <c r="G51" s="6" t="s">
        <v>128</v>
      </c>
      <c r="H51" s="19">
        <v>35000.0</v>
      </c>
      <c r="I51" s="10" t="s">
        <v>27</v>
      </c>
      <c r="J51" s="22">
        <v>450.0</v>
      </c>
      <c r="K51" s="22">
        <v>415.0</v>
      </c>
      <c r="L51" s="22">
        <v>4024.0</v>
      </c>
      <c r="M51" s="23">
        <v>0.59</v>
      </c>
      <c r="N51" s="24">
        <v>4.17</v>
      </c>
      <c r="O51" s="26" t="s">
        <v>71</v>
      </c>
      <c r="P51" s="26" t="s">
        <v>30</v>
      </c>
      <c r="Q51" s="27">
        <f t="shared" si="19"/>
        <v>8.942222222</v>
      </c>
      <c r="R51" s="23">
        <f t="shared" si="20"/>
        <v>0.09</v>
      </c>
      <c r="S51" s="27">
        <f t="shared" si="21"/>
        <v>9.747022222</v>
      </c>
      <c r="T51" s="6" t="s">
        <v>40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6.5" customHeight="1">
      <c r="A52" s="7" t="b">
        <v>0</v>
      </c>
      <c r="B52" s="6" t="s">
        <v>177</v>
      </c>
      <c r="C52" s="6" t="s">
        <v>169</v>
      </c>
      <c r="D52" s="6" t="s">
        <v>200</v>
      </c>
      <c r="E52" s="6" t="s">
        <v>92</v>
      </c>
      <c r="F52" s="25" t="s">
        <v>202</v>
      </c>
      <c r="G52" s="6" t="s">
        <v>128</v>
      </c>
      <c r="H52" s="19">
        <v>42000.0</v>
      </c>
      <c r="I52" s="34" t="s">
        <v>62</v>
      </c>
      <c r="J52" s="22">
        <v>570.0</v>
      </c>
      <c r="K52" s="22">
        <v>478.0</v>
      </c>
      <c r="L52" s="22">
        <v>4376.0</v>
      </c>
      <c r="M52" s="23">
        <v>0.59</v>
      </c>
      <c r="N52" s="24">
        <v>4.99</v>
      </c>
      <c r="O52" s="26" t="s">
        <v>71</v>
      </c>
      <c r="P52" s="26" t="s">
        <v>30</v>
      </c>
      <c r="Q52" s="27">
        <f t="shared" si="19"/>
        <v>7.677192982</v>
      </c>
      <c r="R52" s="23">
        <f t="shared" si="20"/>
        <v>0.09</v>
      </c>
      <c r="S52" s="27">
        <f t="shared" si="21"/>
        <v>8.368140351</v>
      </c>
      <c r="T52" s="6" t="s">
        <v>40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6.5" customHeight="1">
      <c r="A53" s="7" t="b">
        <v>0</v>
      </c>
      <c r="B53" s="6" t="s">
        <v>116</v>
      </c>
      <c r="C53" s="6" t="s">
        <v>169</v>
      </c>
      <c r="D53" s="6" t="s">
        <v>203</v>
      </c>
      <c r="E53" s="6" t="s">
        <v>92</v>
      </c>
      <c r="F53" s="36" t="s">
        <v>204</v>
      </c>
      <c r="G53" s="6" t="s">
        <v>128</v>
      </c>
      <c r="H53" s="19">
        <v>60000.0</v>
      </c>
      <c r="I53" s="10" t="s">
        <v>27</v>
      </c>
      <c r="J53" s="22">
        <v>552.0</v>
      </c>
      <c r="K53" s="22">
        <v>516.0</v>
      </c>
      <c r="L53" s="22">
        <v>4266.0</v>
      </c>
      <c r="M53" s="23">
        <v>0.53</v>
      </c>
      <c r="N53" s="24">
        <v>3.99</v>
      </c>
      <c r="O53" s="26" t="s">
        <v>71</v>
      </c>
      <c r="P53" s="26" t="s">
        <v>30</v>
      </c>
      <c r="Q53" s="27">
        <f t="shared" si="19"/>
        <v>7.72826087</v>
      </c>
      <c r="R53" s="23">
        <f t="shared" si="20"/>
        <v>0.03</v>
      </c>
      <c r="S53" s="27">
        <f t="shared" si="21"/>
        <v>7.960108696</v>
      </c>
      <c r="T53" s="6" t="s">
        <v>40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6.5" customHeight="1">
      <c r="A54" s="7" t="b">
        <v>0</v>
      </c>
      <c r="B54" s="6" t="s">
        <v>90</v>
      </c>
      <c r="C54" s="6" t="s">
        <v>169</v>
      </c>
      <c r="D54" s="6" t="s">
        <v>203</v>
      </c>
      <c r="E54" s="6" t="s">
        <v>92</v>
      </c>
      <c r="F54" s="36" t="s">
        <v>205</v>
      </c>
      <c r="G54" s="6" t="s">
        <v>128</v>
      </c>
      <c r="H54" s="19">
        <v>83000.0</v>
      </c>
      <c r="I54" s="10" t="s">
        <v>27</v>
      </c>
      <c r="J54" s="22">
        <v>591.0</v>
      </c>
      <c r="K54" s="22">
        <v>590.0</v>
      </c>
      <c r="L54" s="22">
        <v>4575.0</v>
      </c>
      <c r="M54" s="23">
        <v>0.55</v>
      </c>
      <c r="N54" s="24">
        <v>4.0</v>
      </c>
      <c r="O54" s="26" t="s">
        <v>71</v>
      </c>
      <c r="P54" s="26" t="s">
        <v>30</v>
      </c>
      <c r="Q54" s="27">
        <f t="shared" si="19"/>
        <v>7.741116751</v>
      </c>
      <c r="R54" s="23">
        <f t="shared" si="20"/>
        <v>0.05</v>
      </c>
      <c r="S54" s="27">
        <f t="shared" si="21"/>
        <v>8.128172589</v>
      </c>
      <c r="T54" s="6" t="s">
        <v>40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16.5" customHeight="1">
      <c r="A55" s="7" t="b">
        <v>0</v>
      </c>
      <c r="B55" s="6" t="s">
        <v>130</v>
      </c>
      <c r="C55" s="6" t="s">
        <v>169</v>
      </c>
      <c r="D55" s="6" t="s">
        <v>206</v>
      </c>
      <c r="E55" s="6" t="s">
        <v>92</v>
      </c>
      <c r="F55" s="36" t="s">
        <v>207</v>
      </c>
      <c r="G55" s="6" t="s">
        <v>128</v>
      </c>
      <c r="H55" s="19">
        <v>55000.0</v>
      </c>
      <c r="I55" s="34" t="s">
        <v>62</v>
      </c>
      <c r="J55" s="22">
        <v>552.0</v>
      </c>
      <c r="K55" s="22">
        <v>553.0</v>
      </c>
      <c r="L55" s="22">
        <v>4310.0</v>
      </c>
      <c r="M55" s="23">
        <v>0.6</v>
      </c>
      <c r="N55" s="24">
        <v>3.99</v>
      </c>
      <c r="O55" s="26" t="s">
        <v>71</v>
      </c>
      <c r="P55" s="26" t="s">
        <v>30</v>
      </c>
      <c r="Q55" s="27">
        <f t="shared" si="19"/>
        <v>7.807971014</v>
      </c>
      <c r="R55" s="23">
        <f t="shared" si="20"/>
        <v>0.1</v>
      </c>
      <c r="S55" s="27">
        <f t="shared" si="21"/>
        <v>8.588768116</v>
      </c>
      <c r="T55" s="6" t="s">
        <v>40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16.5" customHeight="1">
      <c r="A56" s="7" t="b">
        <v>0</v>
      </c>
      <c r="B56" s="6" t="s">
        <v>90</v>
      </c>
      <c r="C56" s="6" t="s">
        <v>169</v>
      </c>
      <c r="D56" s="6" t="s">
        <v>206</v>
      </c>
      <c r="E56" s="6" t="s">
        <v>92</v>
      </c>
      <c r="F56" s="36" t="s">
        <v>208</v>
      </c>
      <c r="G56" s="6" t="s">
        <v>128</v>
      </c>
      <c r="H56" s="19">
        <v>80000.0</v>
      </c>
      <c r="I56" s="10" t="s">
        <v>27</v>
      </c>
      <c r="J56" s="22">
        <v>591.0</v>
      </c>
      <c r="K56" s="22">
        <v>590.0</v>
      </c>
      <c r="L56" s="22">
        <v>4553.0</v>
      </c>
      <c r="M56" s="23">
        <v>0.56</v>
      </c>
      <c r="N56" s="24">
        <v>4.0</v>
      </c>
      <c r="O56" s="26" t="s">
        <v>71</v>
      </c>
      <c r="P56" s="26" t="s">
        <v>30</v>
      </c>
      <c r="Q56" s="27">
        <f t="shared" si="19"/>
        <v>7.703891709</v>
      </c>
      <c r="R56" s="23">
        <f t="shared" si="20"/>
        <v>0.06</v>
      </c>
      <c r="S56" s="27">
        <f t="shared" si="21"/>
        <v>8.166125212</v>
      </c>
      <c r="T56" s="6" t="s">
        <v>40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6.5" customHeight="1">
      <c r="A57" s="7" t="b">
        <v>0</v>
      </c>
      <c r="B57" s="6" t="s">
        <v>90</v>
      </c>
      <c r="C57" s="6" t="s">
        <v>169</v>
      </c>
      <c r="D57" s="6" t="s">
        <v>209</v>
      </c>
      <c r="E57" s="6" t="s">
        <v>92</v>
      </c>
      <c r="F57" s="36" t="s">
        <v>210</v>
      </c>
      <c r="G57" s="6" t="s">
        <v>128</v>
      </c>
      <c r="H57" s="19">
        <v>95000.0</v>
      </c>
      <c r="I57" s="34" t="s">
        <v>62</v>
      </c>
      <c r="J57" s="22">
        <v>637.0</v>
      </c>
      <c r="K57" s="22">
        <v>612.0</v>
      </c>
      <c r="L57" s="22">
        <v>5174.0</v>
      </c>
      <c r="M57" s="23">
        <v>0.5</v>
      </c>
      <c r="N57" s="24" t="s">
        <v>211</v>
      </c>
      <c r="O57" s="26" t="s">
        <v>71</v>
      </c>
      <c r="P57" s="26" t="s">
        <v>77</v>
      </c>
      <c r="Q57" s="27">
        <f t="shared" si="19"/>
        <v>8.12244898</v>
      </c>
      <c r="R57" s="23">
        <f t="shared" si="20"/>
        <v>0</v>
      </c>
      <c r="S57" s="27">
        <f t="shared" si="21"/>
        <v>8.12244898</v>
      </c>
      <c r="T57" s="6" t="s">
        <v>40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6.5" customHeight="1">
      <c r="A58" s="7" t="b">
        <v>0</v>
      </c>
      <c r="B58" s="6" t="s">
        <v>116</v>
      </c>
      <c r="C58" s="6" t="s">
        <v>169</v>
      </c>
      <c r="D58" s="6" t="s">
        <v>53</v>
      </c>
      <c r="E58" s="6" t="s">
        <v>43</v>
      </c>
      <c r="F58" s="25" t="s">
        <v>212</v>
      </c>
      <c r="G58" s="6" t="s">
        <v>128</v>
      </c>
      <c r="H58" s="19">
        <v>21000.0</v>
      </c>
      <c r="I58" s="20" t="s">
        <v>33</v>
      </c>
      <c r="J58" s="22">
        <v>228.0</v>
      </c>
      <c r="K58" s="22">
        <v>241.0</v>
      </c>
      <c r="L58" s="22">
        <v>2899.0</v>
      </c>
      <c r="M58" s="23">
        <v>0.6</v>
      </c>
      <c r="N58" s="24">
        <v>1.98</v>
      </c>
      <c r="O58" s="26" t="s">
        <v>71</v>
      </c>
      <c r="P58" s="26" t="s">
        <v>30</v>
      </c>
      <c r="Q58" s="27">
        <f t="shared" si="19"/>
        <v>12.71491228</v>
      </c>
      <c r="R58" s="23">
        <f t="shared" si="20"/>
        <v>0.1</v>
      </c>
      <c r="S58" s="27">
        <f t="shared" si="21"/>
        <v>13.98640351</v>
      </c>
      <c r="T58" s="6" t="s">
        <v>40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16.5" customHeight="1">
      <c r="A59" s="7" t="b">
        <v>0</v>
      </c>
      <c r="B59" s="5" t="s">
        <v>213</v>
      </c>
      <c r="C59" s="5" t="s">
        <v>169</v>
      </c>
      <c r="D59" s="51" t="s">
        <v>214</v>
      </c>
      <c r="E59" s="5" t="s">
        <v>215</v>
      </c>
      <c r="F59" s="25" t="s">
        <v>216</v>
      </c>
      <c r="G59" s="5" t="s">
        <v>128</v>
      </c>
      <c r="H59" s="9"/>
      <c r="I59" s="48"/>
      <c r="J59" s="9"/>
      <c r="K59" s="9"/>
      <c r="L59" s="9"/>
      <c r="M59" s="28"/>
      <c r="N59" s="29"/>
      <c r="O59" s="30"/>
      <c r="P59" s="30"/>
      <c r="Q59" s="16"/>
      <c r="R59" s="18"/>
      <c r="S59" s="16"/>
      <c r="T59" s="5" t="s">
        <v>129</v>
      </c>
      <c r="U59" s="21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6.5" customHeight="1">
      <c r="A60" s="7" t="b">
        <v>0</v>
      </c>
      <c r="B60" s="6" t="s">
        <v>217</v>
      </c>
      <c r="C60" s="6" t="s">
        <v>169</v>
      </c>
      <c r="D60" s="6" t="s">
        <v>218</v>
      </c>
      <c r="E60" s="6" t="s">
        <v>24</v>
      </c>
      <c r="F60" s="25" t="s">
        <v>75</v>
      </c>
      <c r="G60" s="6" t="s">
        <v>128</v>
      </c>
      <c r="H60" s="19">
        <v>35000.0</v>
      </c>
      <c r="I60" s="10" t="s">
        <v>27</v>
      </c>
      <c r="J60" s="22">
        <v>335.0</v>
      </c>
      <c r="K60" s="22">
        <v>332.0</v>
      </c>
      <c r="L60" s="22">
        <v>3294.0</v>
      </c>
      <c r="M60" s="23">
        <v>0.6</v>
      </c>
      <c r="N60" s="24">
        <v>2.48</v>
      </c>
      <c r="O60" s="26" t="s">
        <v>71</v>
      </c>
      <c r="P60" s="26" t="s">
        <v>30</v>
      </c>
      <c r="Q60" s="27">
        <f t="shared" ref="Q60:Q63" si="22">L60/J60</f>
        <v>9.832835821</v>
      </c>
      <c r="R60" s="23">
        <f t="shared" ref="R60:R63" si="23">0+((ABS(0.5-M60)*1))</f>
        <v>0.1</v>
      </c>
      <c r="S60" s="27">
        <f t="shared" ref="S60:S63" si="24">Q60*(R60+1)</f>
        <v>10.8161194</v>
      </c>
      <c r="T60" s="6" t="s">
        <v>40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6.5" customHeight="1">
      <c r="A61" s="7" t="b">
        <v>0</v>
      </c>
      <c r="B61" s="6" t="s">
        <v>97</v>
      </c>
      <c r="C61" s="6" t="s">
        <v>219</v>
      </c>
      <c r="D61" s="6" t="s">
        <v>220</v>
      </c>
      <c r="E61" s="6" t="s">
        <v>221</v>
      </c>
      <c r="F61" s="17" t="s">
        <v>222</v>
      </c>
      <c r="G61" s="6" t="s">
        <v>134</v>
      </c>
      <c r="H61" s="19">
        <v>75000.0</v>
      </c>
      <c r="I61" s="20" t="s">
        <v>33</v>
      </c>
      <c r="J61" s="22">
        <v>147.0</v>
      </c>
      <c r="K61" s="22">
        <v>173.0</v>
      </c>
      <c r="L61" s="22">
        <v>2604.0</v>
      </c>
      <c r="M61" s="23">
        <v>0.52</v>
      </c>
      <c r="N61" s="24">
        <v>2.91</v>
      </c>
      <c r="O61" s="26" t="s">
        <v>29</v>
      </c>
      <c r="P61" s="26" t="s">
        <v>30</v>
      </c>
      <c r="Q61" s="27">
        <f t="shared" si="22"/>
        <v>17.71428571</v>
      </c>
      <c r="R61" s="23">
        <f t="shared" si="23"/>
        <v>0.02</v>
      </c>
      <c r="S61" s="27">
        <f t="shared" si="24"/>
        <v>18.06857143</v>
      </c>
      <c r="T61" s="6" t="s">
        <v>40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6.5" customHeight="1">
      <c r="A62" s="7" t="b">
        <v>0</v>
      </c>
      <c r="B62" s="6" t="s">
        <v>223</v>
      </c>
      <c r="C62" s="6" t="s">
        <v>224</v>
      </c>
      <c r="D62" s="6" t="s">
        <v>225</v>
      </c>
      <c r="E62" s="6" t="s">
        <v>226</v>
      </c>
      <c r="F62" s="17" t="s">
        <v>227</v>
      </c>
      <c r="G62" s="6" t="s">
        <v>228</v>
      </c>
      <c r="H62" s="19">
        <v>38000.0</v>
      </c>
      <c r="I62" s="10" t="s">
        <v>27</v>
      </c>
      <c r="J62" s="22">
        <v>63.0</v>
      </c>
      <c r="K62" s="22">
        <v>63.0</v>
      </c>
      <c r="L62" s="22">
        <v>1587.0</v>
      </c>
      <c r="M62" s="23">
        <v>0.44</v>
      </c>
      <c r="N62" s="24">
        <v>0.66</v>
      </c>
      <c r="O62" s="26" t="s">
        <v>29</v>
      </c>
      <c r="P62" s="26" t="s">
        <v>77</v>
      </c>
      <c r="Q62" s="27">
        <f t="shared" si="22"/>
        <v>25.19047619</v>
      </c>
      <c r="R62" s="23">
        <f t="shared" si="23"/>
        <v>0.06</v>
      </c>
      <c r="S62" s="27">
        <f t="shared" si="24"/>
        <v>26.70190476</v>
      </c>
      <c r="T62" s="6" t="s">
        <v>40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6.5" customHeight="1">
      <c r="A63" s="7" t="b">
        <v>0</v>
      </c>
      <c r="B63" s="6" t="s">
        <v>79</v>
      </c>
      <c r="C63" s="6" t="s">
        <v>229</v>
      </c>
      <c r="D63" s="6" t="s">
        <v>230</v>
      </c>
      <c r="E63" s="6" t="s">
        <v>231</v>
      </c>
      <c r="F63" s="32" t="s">
        <v>232</v>
      </c>
      <c r="G63" s="6" t="s">
        <v>134</v>
      </c>
      <c r="H63" s="19">
        <v>196000.0</v>
      </c>
      <c r="I63" s="34" t="s">
        <v>62</v>
      </c>
      <c r="J63" s="22">
        <v>280.0</v>
      </c>
      <c r="K63" s="22">
        <v>206.0</v>
      </c>
      <c r="L63" s="22">
        <v>1354.0</v>
      </c>
      <c r="M63" s="23">
        <v>0.48</v>
      </c>
      <c r="N63" s="24">
        <v>2.3</v>
      </c>
      <c r="O63" s="26" t="s">
        <v>29</v>
      </c>
      <c r="P63" s="26" t="s">
        <v>77</v>
      </c>
      <c r="Q63" s="27">
        <f t="shared" si="22"/>
        <v>4.835714286</v>
      </c>
      <c r="R63" s="23">
        <f t="shared" si="23"/>
        <v>0.02</v>
      </c>
      <c r="S63" s="27">
        <f t="shared" si="24"/>
        <v>4.932428571</v>
      </c>
      <c r="T63" s="6" t="s">
        <v>40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6.5" customHeight="1">
      <c r="A64" s="7" t="b">
        <v>0</v>
      </c>
      <c r="B64" s="5" t="s">
        <v>41</v>
      </c>
      <c r="C64" s="5" t="s">
        <v>233</v>
      </c>
      <c r="D64" s="5" t="s">
        <v>234</v>
      </c>
      <c r="E64" s="5" t="s">
        <v>153</v>
      </c>
      <c r="F64" s="36" t="s">
        <v>235</v>
      </c>
      <c r="G64" s="5" t="s">
        <v>134</v>
      </c>
      <c r="H64" s="9"/>
      <c r="I64" s="48"/>
      <c r="J64" s="9"/>
      <c r="K64" s="9"/>
      <c r="L64" s="9"/>
      <c r="M64" s="28"/>
      <c r="N64" s="29"/>
      <c r="O64" s="30"/>
      <c r="P64" s="30"/>
      <c r="Q64" s="16"/>
      <c r="R64" s="18"/>
      <c r="S64" s="16"/>
      <c r="T64" s="5" t="s">
        <v>129</v>
      </c>
      <c r="U64" s="21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6.5" customHeight="1">
      <c r="A65" s="7" t="b">
        <v>0</v>
      </c>
      <c r="B65" s="6" t="s">
        <v>90</v>
      </c>
      <c r="C65" s="6" t="s">
        <v>233</v>
      </c>
      <c r="D65" s="6" t="s">
        <v>236</v>
      </c>
      <c r="E65" s="6" t="s">
        <v>84</v>
      </c>
      <c r="F65" s="36" t="s">
        <v>237</v>
      </c>
      <c r="G65" s="6" t="s">
        <v>134</v>
      </c>
      <c r="H65" s="19">
        <v>170000.0</v>
      </c>
      <c r="I65" s="10" t="s">
        <v>27</v>
      </c>
      <c r="J65" s="22">
        <v>626.0</v>
      </c>
      <c r="K65" s="22">
        <v>663.0</v>
      </c>
      <c r="L65" s="22">
        <v>5322.0</v>
      </c>
      <c r="M65" s="23">
        <v>0.55</v>
      </c>
      <c r="N65" s="24">
        <v>5.95</v>
      </c>
      <c r="O65" s="26" t="s">
        <v>71</v>
      </c>
      <c r="P65" s="26" t="s">
        <v>30</v>
      </c>
      <c r="Q65" s="27">
        <f t="shared" ref="Q65:Q70" si="25">L65/J65</f>
        <v>8.501597444</v>
      </c>
      <c r="R65" s="23">
        <f t="shared" ref="R65:R70" si="26">0+((ABS(0.5-M65)*1))</f>
        <v>0.05</v>
      </c>
      <c r="S65" s="27">
        <f t="shared" ref="S65:S70" si="27">Q65*(R65+1)</f>
        <v>8.926677316</v>
      </c>
      <c r="T65" s="6" t="s">
        <v>137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6.5" customHeight="1">
      <c r="A66" s="7" t="b">
        <v>0</v>
      </c>
      <c r="B66" s="6" t="s">
        <v>238</v>
      </c>
      <c r="C66" s="6" t="s">
        <v>239</v>
      </c>
      <c r="D66" s="6" t="s">
        <v>240</v>
      </c>
      <c r="E66" s="6" t="s">
        <v>221</v>
      </c>
      <c r="F66" s="8" t="s">
        <v>241</v>
      </c>
      <c r="G66" s="6" t="s">
        <v>128</v>
      </c>
      <c r="H66" s="19">
        <v>127000.0</v>
      </c>
      <c r="I66" s="35" t="s">
        <v>76</v>
      </c>
      <c r="J66" s="22">
        <v>168.0</v>
      </c>
      <c r="K66" s="22">
        <v>181.0</v>
      </c>
      <c r="L66" s="22">
        <v>2381.0</v>
      </c>
      <c r="M66" s="23">
        <v>0.54</v>
      </c>
      <c r="N66" s="24">
        <v>1.99</v>
      </c>
      <c r="O66" s="26" t="s">
        <v>29</v>
      </c>
      <c r="P66" s="26" t="s">
        <v>30</v>
      </c>
      <c r="Q66" s="27">
        <f t="shared" si="25"/>
        <v>14.17261905</v>
      </c>
      <c r="R66" s="23">
        <f t="shared" si="26"/>
        <v>0.04</v>
      </c>
      <c r="S66" s="27">
        <f t="shared" si="27"/>
        <v>14.73952381</v>
      </c>
      <c r="T66" s="6" t="s">
        <v>40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6.5" customHeight="1">
      <c r="A67" s="7" t="b">
        <v>0</v>
      </c>
      <c r="B67" s="6" t="s">
        <v>242</v>
      </c>
      <c r="C67" s="6" t="s">
        <v>239</v>
      </c>
      <c r="D67" s="6" t="s">
        <v>243</v>
      </c>
      <c r="E67" s="6" t="s">
        <v>148</v>
      </c>
      <c r="F67" s="8" t="s">
        <v>244</v>
      </c>
      <c r="G67" s="6" t="s">
        <v>128</v>
      </c>
      <c r="H67" s="19">
        <v>135000.0</v>
      </c>
      <c r="I67" s="10" t="s">
        <v>27</v>
      </c>
      <c r="J67" s="22">
        <v>372.0</v>
      </c>
      <c r="K67" s="22">
        <v>402.0</v>
      </c>
      <c r="L67" s="22">
        <v>4240.0</v>
      </c>
      <c r="M67" s="23">
        <v>0.51</v>
      </c>
      <c r="N67" s="24">
        <v>5.58</v>
      </c>
      <c r="O67" s="26" t="s">
        <v>29</v>
      </c>
      <c r="P67" s="26" t="s">
        <v>30</v>
      </c>
      <c r="Q67" s="27">
        <f t="shared" si="25"/>
        <v>11.39784946</v>
      </c>
      <c r="R67" s="23">
        <f t="shared" si="26"/>
        <v>0.01</v>
      </c>
      <c r="S67" s="27">
        <f t="shared" si="27"/>
        <v>11.51182796</v>
      </c>
      <c r="T67" s="6" t="s">
        <v>40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6.5" customHeight="1">
      <c r="A68" s="7" t="b">
        <v>0</v>
      </c>
      <c r="B68" s="6" t="s">
        <v>116</v>
      </c>
      <c r="C68" s="6" t="s">
        <v>239</v>
      </c>
      <c r="D68" s="6" t="s">
        <v>245</v>
      </c>
      <c r="E68" s="6" t="s">
        <v>24</v>
      </c>
      <c r="F68" s="36" t="s">
        <v>246</v>
      </c>
      <c r="G68" s="6" t="s">
        <v>128</v>
      </c>
      <c r="H68" s="19">
        <v>70000.0</v>
      </c>
      <c r="I68" s="10" t="s">
        <v>27</v>
      </c>
      <c r="J68" s="22">
        <v>357.0</v>
      </c>
      <c r="K68" s="22">
        <v>420.0</v>
      </c>
      <c r="L68" s="22">
        <v>3380.0</v>
      </c>
      <c r="M68" s="23">
        <v>0.49</v>
      </c>
      <c r="N68" s="24">
        <v>1.5</v>
      </c>
      <c r="O68" s="26" t="s">
        <v>71</v>
      </c>
      <c r="P68" s="26" t="s">
        <v>77</v>
      </c>
      <c r="Q68" s="27">
        <f t="shared" si="25"/>
        <v>9.467787115</v>
      </c>
      <c r="R68" s="23">
        <f t="shared" si="26"/>
        <v>0.01</v>
      </c>
      <c r="S68" s="27">
        <f t="shared" si="27"/>
        <v>9.562464986</v>
      </c>
      <c r="T68" s="6" t="s">
        <v>40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6.5" customHeight="1">
      <c r="A69" s="7" t="b">
        <v>0</v>
      </c>
      <c r="B69" s="6" t="s">
        <v>247</v>
      </c>
      <c r="C69" s="6" t="s">
        <v>239</v>
      </c>
      <c r="D69" s="6" t="s">
        <v>248</v>
      </c>
      <c r="E69" s="6" t="s">
        <v>38</v>
      </c>
      <c r="F69" s="17" t="s">
        <v>32</v>
      </c>
      <c r="G69" s="6" t="s">
        <v>128</v>
      </c>
      <c r="H69" s="19">
        <v>84000.0</v>
      </c>
      <c r="I69" s="20" t="s">
        <v>33</v>
      </c>
      <c r="J69" s="22">
        <v>13.0</v>
      </c>
      <c r="K69" s="22">
        <v>14.0</v>
      </c>
      <c r="L69" s="22">
        <v>920.0</v>
      </c>
      <c r="M69" s="23">
        <v>0.55</v>
      </c>
      <c r="N69" s="24">
        <v>0.3</v>
      </c>
      <c r="O69" s="26" t="s">
        <v>29</v>
      </c>
      <c r="P69" s="26" t="s">
        <v>77</v>
      </c>
      <c r="Q69" s="27">
        <f t="shared" si="25"/>
        <v>70.76923077</v>
      </c>
      <c r="R69" s="23">
        <f t="shared" si="26"/>
        <v>0.05</v>
      </c>
      <c r="S69" s="27">
        <f t="shared" si="27"/>
        <v>74.30769231</v>
      </c>
      <c r="T69" s="6" t="s">
        <v>40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6.5" customHeight="1">
      <c r="A70" s="7" t="b">
        <v>0</v>
      </c>
      <c r="B70" s="6" t="s">
        <v>58</v>
      </c>
      <c r="C70" s="6" t="s">
        <v>239</v>
      </c>
      <c r="D70" s="6" t="s">
        <v>249</v>
      </c>
      <c r="E70" s="6" t="s">
        <v>153</v>
      </c>
      <c r="F70" s="25" t="s">
        <v>250</v>
      </c>
      <c r="G70" s="6" t="s">
        <v>128</v>
      </c>
      <c r="H70" s="19">
        <v>37000.0</v>
      </c>
      <c r="I70" s="10" t="s">
        <v>27</v>
      </c>
      <c r="J70" s="22">
        <v>516.0</v>
      </c>
      <c r="K70" s="22">
        <v>564.0</v>
      </c>
      <c r="L70" s="22">
        <v>5534.0</v>
      </c>
      <c r="M70" s="23">
        <v>0.48</v>
      </c>
      <c r="N70" s="24" t="s">
        <v>211</v>
      </c>
      <c r="O70" s="26" t="s">
        <v>71</v>
      </c>
      <c r="P70" s="26" t="s">
        <v>77</v>
      </c>
      <c r="Q70" s="27">
        <f t="shared" si="25"/>
        <v>10.7248062</v>
      </c>
      <c r="R70" s="23">
        <f t="shared" si="26"/>
        <v>0.02</v>
      </c>
      <c r="S70" s="27">
        <f t="shared" si="27"/>
        <v>10.93930233</v>
      </c>
      <c r="T70" s="6" t="s">
        <v>40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6.5" customHeight="1">
      <c r="A71" s="7" t="b">
        <v>0</v>
      </c>
      <c r="B71" s="5" t="s">
        <v>251</v>
      </c>
      <c r="C71" s="5" t="s">
        <v>239</v>
      </c>
      <c r="D71" s="5" t="s">
        <v>252</v>
      </c>
      <c r="E71" s="5" t="s">
        <v>253</v>
      </c>
      <c r="F71" s="25" t="s">
        <v>254</v>
      </c>
      <c r="G71" s="5" t="s">
        <v>128</v>
      </c>
      <c r="H71" s="9">
        <v>600000.0</v>
      </c>
      <c r="I71" s="35" t="s">
        <v>255</v>
      </c>
      <c r="J71" s="9"/>
      <c r="K71" s="9"/>
      <c r="L71" s="9"/>
      <c r="M71" s="28"/>
      <c r="N71" s="29"/>
      <c r="O71" s="30"/>
      <c r="P71" s="30"/>
      <c r="Q71" s="16"/>
      <c r="R71" s="18"/>
      <c r="S71" s="16"/>
      <c r="T71" s="5" t="s">
        <v>256</v>
      </c>
      <c r="U71" s="21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6.5" customHeight="1">
      <c r="A72" s="7" t="b">
        <v>0</v>
      </c>
      <c r="B72" s="6" t="s">
        <v>48</v>
      </c>
      <c r="C72" s="6" t="s">
        <v>239</v>
      </c>
      <c r="D72" s="6" t="s">
        <v>257</v>
      </c>
      <c r="E72" s="6" t="s">
        <v>92</v>
      </c>
      <c r="F72" s="36" t="s">
        <v>258</v>
      </c>
      <c r="G72" s="6" t="s">
        <v>128</v>
      </c>
      <c r="H72" s="19">
        <v>67000.0</v>
      </c>
      <c r="I72" s="10" t="s">
        <v>27</v>
      </c>
      <c r="J72" s="22">
        <v>453.0</v>
      </c>
      <c r="K72" s="22">
        <v>405.0</v>
      </c>
      <c r="L72" s="22">
        <v>3748.0</v>
      </c>
      <c r="M72" s="23">
        <v>0.5</v>
      </c>
      <c r="N72" s="24">
        <v>2.99</v>
      </c>
      <c r="O72" s="26" t="s">
        <v>29</v>
      </c>
      <c r="P72" s="26" t="s">
        <v>30</v>
      </c>
      <c r="Q72" s="27">
        <f>L72/J72</f>
        <v>8.273730684</v>
      </c>
      <c r="R72" s="23">
        <f>0+((ABS(0.5-M72)*1))</f>
        <v>0</v>
      </c>
      <c r="S72" s="27">
        <f>Q72*(R72+1)</f>
        <v>8.273730684</v>
      </c>
      <c r="T72" s="6" t="s">
        <v>40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6.5" customHeight="1">
      <c r="A73" s="7" t="b">
        <v>0</v>
      </c>
      <c r="B73" s="5" t="s">
        <v>180</v>
      </c>
      <c r="C73" s="5" t="s">
        <v>239</v>
      </c>
      <c r="D73" s="5" t="s">
        <v>259</v>
      </c>
      <c r="E73" s="5" t="s">
        <v>92</v>
      </c>
      <c r="F73" s="36" t="s">
        <v>260</v>
      </c>
      <c r="G73" s="5" t="s">
        <v>128</v>
      </c>
      <c r="H73" s="9">
        <v>250000.0</v>
      </c>
      <c r="I73" s="34" t="s">
        <v>62</v>
      </c>
      <c r="J73" s="9"/>
      <c r="K73" s="9"/>
      <c r="L73" s="9"/>
      <c r="M73" s="28"/>
      <c r="N73" s="29"/>
      <c r="O73" s="30"/>
      <c r="P73" s="30"/>
      <c r="Q73" s="16"/>
      <c r="R73" s="18"/>
      <c r="S73" s="16"/>
      <c r="T73" s="5" t="s">
        <v>129</v>
      </c>
      <c r="U73" s="21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6.5" customHeight="1">
      <c r="A74" s="7" t="b">
        <v>0</v>
      </c>
      <c r="B74" s="5" t="s">
        <v>48</v>
      </c>
      <c r="C74" s="5" t="s">
        <v>239</v>
      </c>
      <c r="D74" s="5" t="s">
        <v>261</v>
      </c>
      <c r="E74" s="5" t="s">
        <v>231</v>
      </c>
      <c r="F74" s="36" t="s">
        <v>262</v>
      </c>
      <c r="G74" s="5" t="s">
        <v>128</v>
      </c>
      <c r="H74" s="9"/>
      <c r="I74" s="48"/>
      <c r="J74" s="9"/>
      <c r="K74" s="9"/>
      <c r="L74" s="9"/>
      <c r="M74" s="28"/>
      <c r="N74" s="29"/>
      <c r="O74" s="30"/>
      <c r="P74" s="30"/>
      <c r="Q74" s="16"/>
      <c r="R74" s="18"/>
      <c r="S74" s="16"/>
      <c r="T74" s="5" t="s">
        <v>103</v>
      </c>
      <c r="U74" s="21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6.5" customHeight="1">
      <c r="A75" s="7" t="b">
        <v>0</v>
      </c>
      <c r="B75" s="6" t="s">
        <v>263</v>
      </c>
      <c r="C75" s="6" t="s">
        <v>239</v>
      </c>
      <c r="D75" s="6" t="s">
        <v>264</v>
      </c>
      <c r="E75" s="6" t="s">
        <v>69</v>
      </c>
      <c r="F75" s="8" t="s">
        <v>265</v>
      </c>
      <c r="G75" s="6" t="s">
        <v>128</v>
      </c>
      <c r="H75" s="19">
        <v>250000.0</v>
      </c>
      <c r="I75" s="10" t="s">
        <v>27</v>
      </c>
      <c r="J75" s="22">
        <v>192.0</v>
      </c>
      <c r="K75" s="22">
        <v>170.0</v>
      </c>
      <c r="L75" s="22">
        <v>2762.0</v>
      </c>
      <c r="M75" s="23">
        <v>0.51</v>
      </c>
      <c r="N75" s="24">
        <v>2.3</v>
      </c>
      <c r="O75" s="26" t="s">
        <v>29</v>
      </c>
      <c r="P75" s="26" t="s">
        <v>30</v>
      </c>
      <c r="Q75" s="27">
        <f t="shared" ref="Q75:Q101" si="28">L75/J75</f>
        <v>14.38541667</v>
      </c>
      <c r="R75" s="23">
        <f t="shared" ref="R75:R101" si="29">0+((ABS(0.5-M75)*1))</f>
        <v>0.01</v>
      </c>
      <c r="S75" s="27">
        <f t="shared" ref="S75:S101" si="30">Q75*(R75+1)</f>
        <v>14.52927083</v>
      </c>
      <c r="T75" s="6" t="s">
        <v>40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6.5" customHeight="1">
      <c r="A76" s="7" t="b">
        <v>0</v>
      </c>
      <c r="B76" s="6" t="s">
        <v>266</v>
      </c>
      <c r="C76" s="6" t="s">
        <v>239</v>
      </c>
      <c r="D76" s="6" t="s">
        <v>264</v>
      </c>
      <c r="E76" s="6" t="s">
        <v>69</v>
      </c>
      <c r="F76" s="25" t="s">
        <v>267</v>
      </c>
      <c r="G76" s="6" t="s">
        <v>128</v>
      </c>
      <c r="H76" s="19">
        <v>30000.0</v>
      </c>
      <c r="I76" s="20" t="s">
        <v>33</v>
      </c>
      <c r="J76" s="22">
        <v>321.0</v>
      </c>
      <c r="K76" s="22">
        <v>258.0</v>
      </c>
      <c r="L76" s="22">
        <v>3219.0</v>
      </c>
      <c r="M76" s="23">
        <v>0.5</v>
      </c>
      <c r="N76" s="24">
        <v>3.2</v>
      </c>
      <c r="O76" s="26" t="s">
        <v>29</v>
      </c>
      <c r="P76" s="26" t="s">
        <v>30</v>
      </c>
      <c r="Q76" s="27">
        <f t="shared" si="28"/>
        <v>10.02803738</v>
      </c>
      <c r="R76" s="23">
        <f t="shared" si="29"/>
        <v>0</v>
      </c>
      <c r="S76" s="27">
        <f t="shared" si="30"/>
        <v>10.02803738</v>
      </c>
      <c r="T76" s="6" t="s">
        <v>40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6.5" customHeight="1">
      <c r="A77" s="7" t="b">
        <v>0</v>
      </c>
      <c r="B77" s="6" t="s">
        <v>268</v>
      </c>
      <c r="C77" s="6" t="s">
        <v>239</v>
      </c>
      <c r="D77" s="6" t="s">
        <v>264</v>
      </c>
      <c r="E77" s="6" t="s">
        <v>69</v>
      </c>
      <c r="F77" s="25" t="s">
        <v>269</v>
      </c>
      <c r="G77" s="6" t="s">
        <v>128</v>
      </c>
      <c r="H77" s="19">
        <v>35000.0</v>
      </c>
      <c r="I77" s="20" t="s">
        <v>33</v>
      </c>
      <c r="J77" s="22">
        <v>333.0</v>
      </c>
      <c r="K77" s="22">
        <v>262.0</v>
      </c>
      <c r="L77" s="22">
        <v>3415.0</v>
      </c>
      <c r="M77" s="23">
        <v>0.5</v>
      </c>
      <c r="N77" s="24">
        <v>3.25</v>
      </c>
      <c r="O77" s="26" t="s">
        <v>29</v>
      </c>
      <c r="P77" s="26" t="s">
        <v>30</v>
      </c>
      <c r="Q77" s="27">
        <f t="shared" si="28"/>
        <v>10.25525526</v>
      </c>
      <c r="R77" s="23">
        <f t="shared" si="29"/>
        <v>0</v>
      </c>
      <c r="S77" s="27">
        <f t="shared" si="30"/>
        <v>10.25525526</v>
      </c>
      <c r="T77" s="6" t="s">
        <v>40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6.5" customHeight="1">
      <c r="A78" s="7" t="b">
        <v>0</v>
      </c>
      <c r="B78" s="6" t="s">
        <v>270</v>
      </c>
      <c r="C78" s="6" t="s">
        <v>239</v>
      </c>
      <c r="D78" s="6" t="s">
        <v>264</v>
      </c>
      <c r="E78" s="6" t="s">
        <v>92</v>
      </c>
      <c r="F78" s="36" t="s">
        <v>271</v>
      </c>
      <c r="G78" s="6" t="s">
        <v>128</v>
      </c>
      <c r="H78" s="19">
        <v>43000.0</v>
      </c>
      <c r="I78" s="20" t="s">
        <v>33</v>
      </c>
      <c r="J78" s="22">
        <v>414.0</v>
      </c>
      <c r="K78" s="22">
        <v>295.0</v>
      </c>
      <c r="L78" s="22">
        <v>3649.0</v>
      </c>
      <c r="M78" s="23">
        <v>0.52</v>
      </c>
      <c r="N78" s="24">
        <v>4.0</v>
      </c>
      <c r="O78" s="26" t="s">
        <v>29</v>
      </c>
      <c r="P78" s="26" t="s">
        <v>30</v>
      </c>
      <c r="Q78" s="27">
        <f t="shared" si="28"/>
        <v>8.814009662</v>
      </c>
      <c r="R78" s="23">
        <f t="shared" si="29"/>
        <v>0.02</v>
      </c>
      <c r="S78" s="27">
        <f t="shared" si="30"/>
        <v>8.990289855</v>
      </c>
      <c r="T78" s="6" t="s">
        <v>40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6.5" customHeight="1">
      <c r="A79" s="7" t="b">
        <v>0</v>
      </c>
      <c r="B79" s="6" t="s">
        <v>217</v>
      </c>
      <c r="C79" s="6" t="s">
        <v>239</v>
      </c>
      <c r="D79" s="6" t="s">
        <v>272</v>
      </c>
      <c r="E79" s="6" t="s">
        <v>231</v>
      </c>
      <c r="F79" s="36" t="s">
        <v>273</v>
      </c>
      <c r="G79" s="6" t="s">
        <v>128</v>
      </c>
      <c r="H79" s="19">
        <v>198000.0</v>
      </c>
      <c r="I79" s="34" t="s">
        <v>62</v>
      </c>
      <c r="J79" s="22">
        <v>444.0</v>
      </c>
      <c r="K79" s="22">
        <v>324.0</v>
      </c>
      <c r="L79" s="22">
        <v>2408.0</v>
      </c>
      <c r="M79" s="23">
        <v>0.52</v>
      </c>
      <c r="N79" s="24">
        <v>4.36</v>
      </c>
      <c r="O79" s="26" t="s">
        <v>29</v>
      </c>
      <c r="P79" s="26" t="s">
        <v>30</v>
      </c>
      <c r="Q79" s="27">
        <f t="shared" si="28"/>
        <v>5.423423423</v>
      </c>
      <c r="R79" s="23">
        <f t="shared" si="29"/>
        <v>0.02</v>
      </c>
      <c r="S79" s="27">
        <f t="shared" si="30"/>
        <v>5.531891892</v>
      </c>
      <c r="T79" s="6" t="s">
        <v>40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6.5" customHeight="1">
      <c r="A80" s="7" t="b">
        <v>0</v>
      </c>
      <c r="B80" s="6" t="s">
        <v>90</v>
      </c>
      <c r="C80" s="6" t="s">
        <v>239</v>
      </c>
      <c r="D80" s="6" t="s">
        <v>274</v>
      </c>
      <c r="E80" s="6" t="s">
        <v>92</v>
      </c>
      <c r="F80" s="36" t="s">
        <v>275</v>
      </c>
      <c r="G80" s="6" t="s">
        <v>128</v>
      </c>
      <c r="H80" s="19">
        <v>64000.0</v>
      </c>
      <c r="I80" s="10" t="s">
        <v>27</v>
      </c>
      <c r="J80" s="22">
        <v>503.0</v>
      </c>
      <c r="K80" s="22">
        <v>479.0</v>
      </c>
      <c r="L80" s="22">
        <v>3804.0</v>
      </c>
      <c r="M80" s="23">
        <v>0.53</v>
      </c>
      <c r="N80" s="24">
        <v>2.99</v>
      </c>
      <c r="O80" s="26" t="s">
        <v>29</v>
      </c>
      <c r="P80" s="26" t="s">
        <v>30</v>
      </c>
      <c r="Q80" s="27">
        <f t="shared" si="28"/>
        <v>7.562624254</v>
      </c>
      <c r="R80" s="23">
        <f t="shared" si="29"/>
        <v>0.03</v>
      </c>
      <c r="S80" s="27">
        <f t="shared" si="30"/>
        <v>7.789502982</v>
      </c>
      <c r="T80" s="6" t="s">
        <v>40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6.5" customHeight="1">
      <c r="A81" s="7" t="b">
        <v>0</v>
      </c>
      <c r="B81" s="37" t="s">
        <v>90</v>
      </c>
      <c r="C81" s="37" t="s">
        <v>239</v>
      </c>
      <c r="D81" s="37" t="s">
        <v>276</v>
      </c>
      <c r="E81" s="37" t="s">
        <v>92</v>
      </c>
      <c r="F81" s="32" t="s">
        <v>277</v>
      </c>
      <c r="G81" s="37" t="s">
        <v>128</v>
      </c>
      <c r="H81" s="38">
        <v>150000.0</v>
      </c>
      <c r="I81" s="35" t="s">
        <v>76</v>
      </c>
      <c r="J81" s="46">
        <v>578.0</v>
      </c>
      <c r="K81" s="46">
        <v>551.0</v>
      </c>
      <c r="L81" s="46">
        <v>2976.0</v>
      </c>
      <c r="M81" s="45">
        <v>0.53</v>
      </c>
      <c r="N81" s="47">
        <v>2.99</v>
      </c>
      <c r="O81" s="43" t="s">
        <v>29</v>
      </c>
      <c r="P81" s="43" t="s">
        <v>30</v>
      </c>
      <c r="Q81" s="44">
        <f t="shared" si="28"/>
        <v>5.148788927</v>
      </c>
      <c r="R81" s="45">
        <f t="shared" si="29"/>
        <v>0.03</v>
      </c>
      <c r="S81" s="44">
        <f t="shared" si="30"/>
        <v>5.303252595</v>
      </c>
      <c r="T81" s="37" t="s">
        <v>88</v>
      </c>
      <c r="U81" s="37" t="s">
        <v>278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6.5" customHeight="1">
      <c r="A82" s="7" t="b">
        <v>0</v>
      </c>
      <c r="B82" s="6" t="s">
        <v>79</v>
      </c>
      <c r="C82" s="6" t="s">
        <v>239</v>
      </c>
      <c r="D82" s="6" t="s">
        <v>279</v>
      </c>
      <c r="E82" s="6" t="s">
        <v>92</v>
      </c>
      <c r="F82" s="36" t="s">
        <v>142</v>
      </c>
      <c r="G82" s="6" t="s">
        <v>128</v>
      </c>
      <c r="H82" s="19">
        <v>55000.0</v>
      </c>
      <c r="I82" s="10" t="s">
        <v>27</v>
      </c>
      <c r="J82" s="22">
        <v>425.0</v>
      </c>
      <c r="K82" s="22">
        <v>406.0</v>
      </c>
      <c r="L82" s="22">
        <v>3389.0</v>
      </c>
      <c r="M82" s="23">
        <v>0.52</v>
      </c>
      <c r="N82" s="24">
        <v>2.98</v>
      </c>
      <c r="O82" s="26" t="s">
        <v>29</v>
      </c>
      <c r="P82" s="26" t="s">
        <v>30</v>
      </c>
      <c r="Q82" s="27">
        <f t="shared" si="28"/>
        <v>7.974117647</v>
      </c>
      <c r="R82" s="23">
        <f t="shared" si="29"/>
        <v>0.02</v>
      </c>
      <c r="S82" s="27">
        <f t="shared" si="30"/>
        <v>8.1336</v>
      </c>
      <c r="T82" s="6" t="s">
        <v>40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6.5" customHeight="1">
      <c r="A83" s="7" t="b">
        <v>0</v>
      </c>
      <c r="B83" s="6" t="s">
        <v>41</v>
      </c>
      <c r="C83" s="6" t="s">
        <v>239</v>
      </c>
      <c r="D83" s="6" t="s">
        <v>280</v>
      </c>
      <c r="E83" s="6" t="s">
        <v>231</v>
      </c>
      <c r="F83" s="32" t="s">
        <v>93</v>
      </c>
      <c r="G83" s="6" t="s">
        <v>128</v>
      </c>
      <c r="H83" s="19">
        <v>125000.0</v>
      </c>
      <c r="I83" s="34" t="s">
        <v>62</v>
      </c>
      <c r="J83" s="22">
        <v>493.0</v>
      </c>
      <c r="K83" s="22">
        <v>442.0</v>
      </c>
      <c r="L83" s="22">
        <v>3329.0</v>
      </c>
      <c r="M83" s="23">
        <v>0.51</v>
      </c>
      <c r="N83" s="24">
        <v>2.98</v>
      </c>
      <c r="O83" s="26" t="s">
        <v>29</v>
      </c>
      <c r="P83" s="26" t="s">
        <v>30</v>
      </c>
      <c r="Q83" s="27">
        <f t="shared" si="28"/>
        <v>6.752535497</v>
      </c>
      <c r="R83" s="23">
        <f t="shared" si="29"/>
        <v>0.01</v>
      </c>
      <c r="S83" s="27">
        <f t="shared" si="30"/>
        <v>6.820060852</v>
      </c>
      <c r="T83" s="6" t="s">
        <v>40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6.5" customHeight="1">
      <c r="A84" s="7" t="b">
        <v>0</v>
      </c>
      <c r="B84" s="6" t="s">
        <v>263</v>
      </c>
      <c r="C84" s="6" t="s">
        <v>239</v>
      </c>
      <c r="D84" s="6" t="s">
        <v>281</v>
      </c>
      <c r="E84" s="6" t="s">
        <v>69</v>
      </c>
      <c r="F84" s="8" t="s">
        <v>282</v>
      </c>
      <c r="G84" s="6" t="s">
        <v>128</v>
      </c>
      <c r="H84" s="19">
        <v>70000.0</v>
      </c>
      <c r="I84" s="10" t="s">
        <v>27</v>
      </c>
      <c r="J84" s="22">
        <v>282.0</v>
      </c>
      <c r="K84" s="22">
        <v>251.0</v>
      </c>
      <c r="L84" s="22">
        <v>3230.0</v>
      </c>
      <c r="M84" s="23">
        <v>0.52</v>
      </c>
      <c r="N84" s="24">
        <v>3.45</v>
      </c>
      <c r="O84" s="26" t="s">
        <v>29</v>
      </c>
      <c r="P84" s="26" t="s">
        <v>30</v>
      </c>
      <c r="Q84" s="27">
        <f t="shared" si="28"/>
        <v>11.45390071</v>
      </c>
      <c r="R84" s="23">
        <f t="shared" si="29"/>
        <v>0.02</v>
      </c>
      <c r="S84" s="27">
        <f t="shared" si="30"/>
        <v>11.68297872</v>
      </c>
      <c r="T84" s="6" t="s">
        <v>40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6.5" customHeight="1">
      <c r="A85" s="7" t="b">
        <v>0</v>
      </c>
      <c r="B85" s="6" t="s">
        <v>242</v>
      </c>
      <c r="C85" s="6" t="s">
        <v>239</v>
      </c>
      <c r="D85" s="6" t="s">
        <v>281</v>
      </c>
      <c r="E85" s="6" t="s">
        <v>69</v>
      </c>
      <c r="F85" s="25" t="s">
        <v>283</v>
      </c>
      <c r="G85" s="6" t="s">
        <v>128</v>
      </c>
      <c r="H85" s="19">
        <v>48000.0</v>
      </c>
      <c r="I85" s="10" t="s">
        <v>27</v>
      </c>
      <c r="J85" s="22">
        <v>342.0</v>
      </c>
      <c r="K85" s="22">
        <v>301.0</v>
      </c>
      <c r="L85" s="22">
        <v>3772.0</v>
      </c>
      <c r="M85" s="23">
        <v>0.5</v>
      </c>
      <c r="N85" s="24">
        <v>3.8</v>
      </c>
      <c r="O85" s="26" t="s">
        <v>29</v>
      </c>
      <c r="P85" s="26" t="s">
        <v>30</v>
      </c>
      <c r="Q85" s="27">
        <f t="shared" si="28"/>
        <v>11.02923977</v>
      </c>
      <c r="R85" s="23">
        <f t="shared" si="29"/>
        <v>0</v>
      </c>
      <c r="S85" s="27">
        <f t="shared" si="30"/>
        <v>11.02923977</v>
      </c>
      <c r="T85" s="6" t="s">
        <v>40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6.5" customHeight="1">
      <c r="A86" s="7" t="b">
        <v>0</v>
      </c>
      <c r="B86" s="6" t="s">
        <v>146</v>
      </c>
      <c r="C86" s="6" t="s">
        <v>239</v>
      </c>
      <c r="D86" s="6" t="s">
        <v>281</v>
      </c>
      <c r="E86" s="6" t="s">
        <v>69</v>
      </c>
      <c r="F86" s="25" t="s">
        <v>284</v>
      </c>
      <c r="G86" s="6" t="s">
        <v>128</v>
      </c>
      <c r="H86" s="19">
        <v>47000.0</v>
      </c>
      <c r="I86" s="20" t="s">
        <v>33</v>
      </c>
      <c r="J86" s="22">
        <v>394.0</v>
      </c>
      <c r="K86" s="22">
        <v>368.0</v>
      </c>
      <c r="L86" s="22">
        <v>3900.0</v>
      </c>
      <c r="M86" s="23">
        <v>0.53</v>
      </c>
      <c r="N86" s="24">
        <v>4.94</v>
      </c>
      <c r="O86" s="26" t="s">
        <v>29</v>
      </c>
      <c r="P86" s="26" t="s">
        <v>30</v>
      </c>
      <c r="Q86" s="27">
        <f t="shared" si="28"/>
        <v>9.898477157</v>
      </c>
      <c r="R86" s="23">
        <f t="shared" si="29"/>
        <v>0.03</v>
      </c>
      <c r="S86" s="27">
        <f t="shared" si="30"/>
        <v>10.19543147</v>
      </c>
      <c r="T86" s="6" t="s">
        <v>40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6.5" customHeight="1">
      <c r="A87" s="7" t="b">
        <v>0</v>
      </c>
      <c r="B87" s="6" t="s">
        <v>177</v>
      </c>
      <c r="C87" s="6" t="s">
        <v>239</v>
      </c>
      <c r="D87" s="6" t="s">
        <v>281</v>
      </c>
      <c r="E87" s="6" t="s">
        <v>92</v>
      </c>
      <c r="F87" s="25" t="s">
        <v>250</v>
      </c>
      <c r="G87" s="6" t="s">
        <v>128</v>
      </c>
      <c r="H87" s="19">
        <v>54000.0</v>
      </c>
      <c r="I87" s="10" t="s">
        <v>27</v>
      </c>
      <c r="J87" s="22">
        <v>500.0</v>
      </c>
      <c r="K87" s="22">
        <v>383.0</v>
      </c>
      <c r="L87" s="22">
        <v>4012.0</v>
      </c>
      <c r="M87" s="23">
        <v>0.52</v>
      </c>
      <c r="N87" s="24">
        <v>5.0</v>
      </c>
      <c r="O87" s="26" t="s">
        <v>29</v>
      </c>
      <c r="P87" s="26" t="s">
        <v>30</v>
      </c>
      <c r="Q87" s="27">
        <f t="shared" si="28"/>
        <v>8.024</v>
      </c>
      <c r="R87" s="23">
        <f t="shared" si="29"/>
        <v>0.02</v>
      </c>
      <c r="S87" s="27">
        <f t="shared" si="30"/>
        <v>8.18448</v>
      </c>
      <c r="T87" s="6" t="s">
        <v>40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6.5" customHeight="1">
      <c r="A88" s="7" t="b">
        <v>0</v>
      </c>
      <c r="B88" s="6" t="s">
        <v>285</v>
      </c>
      <c r="C88" s="6" t="s">
        <v>239</v>
      </c>
      <c r="D88" s="6" t="s">
        <v>281</v>
      </c>
      <c r="E88" s="6" t="s">
        <v>92</v>
      </c>
      <c r="F88" s="36" t="s">
        <v>286</v>
      </c>
      <c r="G88" s="6" t="s">
        <v>128</v>
      </c>
      <c r="H88" s="19">
        <v>40000.0</v>
      </c>
      <c r="I88" s="10" t="s">
        <v>27</v>
      </c>
      <c r="J88" s="22">
        <v>552.0</v>
      </c>
      <c r="K88" s="22">
        <v>501.0</v>
      </c>
      <c r="L88" s="22">
        <v>4123.0</v>
      </c>
      <c r="M88" s="23">
        <v>0.52</v>
      </c>
      <c r="N88" s="24">
        <v>4.4</v>
      </c>
      <c r="O88" s="26" t="s">
        <v>29</v>
      </c>
      <c r="P88" s="26" t="s">
        <v>30</v>
      </c>
      <c r="Q88" s="27">
        <f t="shared" si="28"/>
        <v>7.469202899</v>
      </c>
      <c r="R88" s="23">
        <f t="shared" si="29"/>
        <v>0.02</v>
      </c>
      <c r="S88" s="27">
        <f t="shared" si="30"/>
        <v>7.618586957</v>
      </c>
      <c r="T88" s="6" t="s">
        <v>40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6.5" customHeight="1">
      <c r="A89" s="7" t="b">
        <v>0</v>
      </c>
      <c r="B89" s="6" t="s">
        <v>58</v>
      </c>
      <c r="C89" s="6" t="s">
        <v>239</v>
      </c>
      <c r="D89" s="6" t="s">
        <v>287</v>
      </c>
      <c r="E89" s="6" t="s">
        <v>92</v>
      </c>
      <c r="F89" s="32" t="s">
        <v>184</v>
      </c>
      <c r="G89" s="6" t="s">
        <v>128</v>
      </c>
      <c r="H89" s="19">
        <v>150000.0</v>
      </c>
      <c r="I89" s="10" t="s">
        <v>27</v>
      </c>
      <c r="J89" s="22">
        <v>626.0</v>
      </c>
      <c r="K89" s="22">
        <v>553.0</v>
      </c>
      <c r="L89" s="22">
        <v>4023.0</v>
      </c>
      <c r="M89" s="23">
        <v>0.56</v>
      </c>
      <c r="N89" s="24">
        <v>4.4</v>
      </c>
      <c r="O89" s="26" t="s">
        <v>71</v>
      </c>
      <c r="P89" s="26" t="s">
        <v>30</v>
      </c>
      <c r="Q89" s="27">
        <f t="shared" si="28"/>
        <v>6.426517572</v>
      </c>
      <c r="R89" s="23">
        <f t="shared" si="29"/>
        <v>0.06</v>
      </c>
      <c r="S89" s="27">
        <f t="shared" si="30"/>
        <v>6.812108626</v>
      </c>
      <c r="T89" s="6" t="s">
        <v>40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6.5" customHeight="1">
      <c r="A90" s="7" t="b">
        <v>0</v>
      </c>
      <c r="B90" s="6" t="s">
        <v>180</v>
      </c>
      <c r="C90" s="6" t="s">
        <v>239</v>
      </c>
      <c r="D90" s="6" t="s">
        <v>288</v>
      </c>
      <c r="E90" s="6" t="s">
        <v>84</v>
      </c>
      <c r="F90" s="36" t="s">
        <v>289</v>
      </c>
      <c r="G90" s="6" t="s">
        <v>128</v>
      </c>
      <c r="H90" s="19">
        <v>100000.0</v>
      </c>
      <c r="I90" s="10" t="s">
        <v>27</v>
      </c>
      <c r="J90" s="22">
        <v>617.0</v>
      </c>
      <c r="K90" s="22">
        <v>553.0</v>
      </c>
      <c r="L90" s="22">
        <v>4354.0</v>
      </c>
      <c r="M90" s="23">
        <v>0.53</v>
      </c>
      <c r="N90" s="24">
        <v>4.4</v>
      </c>
      <c r="O90" s="26" t="s">
        <v>71</v>
      </c>
      <c r="P90" s="26" t="s">
        <v>30</v>
      </c>
      <c r="Q90" s="27">
        <f t="shared" si="28"/>
        <v>7.056726094</v>
      </c>
      <c r="R90" s="23">
        <f t="shared" si="29"/>
        <v>0.03</v>
      </c>
      <c r="S90" s="27">
        <f t="shared" si="30"/>
        <v>7.268427877</v>
      </c>
      <c r="T90" s="6" t="s">
        <v>40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6.5" customHeight="1">
      <c r="A91" s="7" t="b">
        <v>0</v>
      </c>
      <c r="B91" s="6" t="s">
        <v>187</v>
      </c>
      <c r="C91" s="6" t="s">
        <v>239</v>
      </c>
      <c r="D91" s="6" t="s">
        <v>290</v>
      </c>
      <c r="E91" s="6" t="s">
        <v>153</v>
      </c>
      <c r="F91" s="25" t="s">
        <v>291</v>
      </c>
      <c r="G91" s="6" t="s">
        <v>128</v>
      </c>
      <c r="H91" s="19">
        <v>24000.0</v>
      </c>
      <c r="I91" s="20" t="s">
        <v>33</v>
      </c>
      <c r="J91" s="22">
        <v>547.0</v>
      </c>
      <c r="K91" s="22">
        <v>501.0</v>
      </c>
      <c r="L91" s="22">
        <v>5368.0</v>
      </c>
      <c r="M91" s="23">
        <v>0.51</v>
      </c>
      <c r="N91" s="24">
        <v>4.4</v>
      </c>
      <c r="O91" s="26" t="s">
        <v>71</v>
      </c>
      <c r="P91" s="26" t="s">
        <v>30</v>
      </c>
      <c r="Q91" s="27">
        <f t="shared" si="28"/>
        <v>9.813528336</v>
      </c>
      <c r="R91" s="23">
        <f t="shared" si="29"/>
        <v>0.01</v>
      </c>
      <c r="S91" s="27">
        <f t="shared" si="30"/>
        <v>9.91166362</v>
      </c>
      <c r="T91" s="6" t="s">
        <v>40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6.5" customHeight="1">
      <c r="A92" s="7" t="b">
        <v>0</v>
      </c>
      <c r="B92" s="6" t="s">
        <v>292</v>
      </c>
      <c r="C92" s="6" t="s">
        <v>239</v>
      </c>
      <c r="D92" s="6" t="s">
        <v>293</v>
      </c>
      <c r="E92" s="6" t="s">
        <v>153</v>
      </c>
      <c r="F92" s="36" t="s">
        <v>294</v>
      </c>
      <c r="G92" s="6" t="s">
        <v>128</v>
      </c>
      <c r="H92" s="19">
        <v>140000.0</v>
      </c>
      <c r="I92" s="34" t="s">
        <v>62</v>
      </c>
      <c r="J92" s="22">
        <v>617.0</v>
      </c>
      <c r="K92" s="22">
        <v>553.0</v>
      </c>
      <c r="L92" s="22">
        <v>5454.0</v>
      </c>
      <c r="M92" s="23">
        <v>0.52</v>
      </c>
      <c r="N92" s="24">
        <v>4.4</v>
      </c>
      <c r="O92" s="26" t="s">
        <v>71</v>
      </c>
      <c r="P92" s="26" t="s">
        <v>30</v>
      </c>
      <c r="Q92" s="27">
        <f t="shared" si="28"/>
        <v>8.839546191</v>
      </c>
      <c r="R92" s="23">
        <f t="shared" si="29"/>
        <v>0.02</v>
      </c>
      <c r="S92" s="27">
        <f t="shared" si="30"/>
        <v>9.016337115</v>
      </c>
      <c r="T92" s="6" t="s">
        <v>40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6.5" customHeight="1">
      <c r="A93" s="7" t="b">
        <v>0</v>
      </c>
      <c r="B93" s="6" t="s">
        <v>270</v>
      </c>
      <c r="C93" s="6" t="s">
        <v>239</v>
      </c>
      <c r="D93" s="6" t="s">
        <v>295</v>
      </c>
      <c r="E93" s="6" t="s">
        <v>24</v>
      </c>
      <c r="F93" s="25" t="s">
        <v>296</v>
      </c>
      <c r="G93" s="6" t="s">
        <v>128</v>
      </c>
      <c r="H93" s="19">
        <v>63000.0</v>
      </c>
      <c r="I93" s="10" t="s">
        <v>27</v>
      </c>
      <c r="J93" s="22">
        <v>330.0</v>
      </c>
      <c r="K93" s="22">
        <v>262.0</v>
      </c>
      <c r="L93" s="22">
        <v>3296.0</v>
      </c>
      <c r="M93" s="23">
        <v>0.5</v>
      </c>
      <c r="N93" s="24">
        <v>3.25</v>
      </c>
      <c r="O93" s="26" t="s">
        <v>29</v>
      </c>
      <c r="P93" s="26" t="s">
        <v>30</v>
      </c>
      <c r="Q93" s="27">
        <f t="shared" si="28"/>
        <v>9.987878788</v>
      </c>
      <c r="R93" s="23">
        <f t="shared" si="29"/>
        <v>0</v>
      </c>
      <c r="S93" s="27">
        <f t="shared" si="30"/>
        <v>9.987878788</v>
      </c>
      <c r="T93" s="6" t="s">
        <v>40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6.5" customHeight="1">
      <c r="A94" s="7" t="b">
        <v>0</v>
      </c>
      <c r="B94" s="6" t="s">
        <v>123</v>
      </c>
      <c r="C94" s="6" t="s">
        <v>239</v>
      </c>
      <c r="D94" s="6" t="s">
        <v>297</v>
      </c>
      <c r="E94" s="6" t="s">
        <v>24</v>
      </c>
      <c r="F94" s="36" t="s">
        <v>298</v>
      </c>
      <c r="G94" s="6" t="s">
        <v>128</v>
      </c>
      <c r="H94" s="19">
        <v>38000.0</v>
      </c>
      <c r="I94" s="20" t="s">
        <v>33</v>
      </c>
      <c r="J94" s="22">
        <v>382.0</v>
      </c>
      <c r="K94" s="22">
        <v>369.0</v>
      </c>
      <c r="L94" s="22">
        <v>3252.0</v>
      </c>
      <c r="M94" s="23">
        <v>0.5</v>
      </c>
      <c r="N94" s="24">
        <v>3.0</v>
      </c>
      <c r="O94" s="26" t="s">
        <v>29</v>
      </c>
      <c r="P94" s="26" t="s">
        <v>30</v>
      </c>
      <c r="Q94" s="27">
        <f t="shared" si="28"/>
        <v>8.513089005</v>
      </c>
      <c r="R94" s="23">
        <f t="shared" si="29"/>
        <v>0</v>
      </c>
      <c r="S94" s="27">
        <f t="shared" si="30"/>
        <v>8.513089005</v>
      </c>
      <c r="T94" s="6" t="s">
        <v>137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6.5" customHeight="1">
      <c r="A95" s="7" t="b">
        <v>0</v>
      </c>
      <c r="B95" s="6" t="s">
        <v>299</v>
      </c>
      <c r="C95" s="6" t="s">
        <v>300</v>
      </c>
      <c r="D95" s="6" t="s">
        <v>301</v>
      </c>
      <c r="E95" s="6" t="s">
        <v>302</v>
      </c>
      <c r="F95" s="8" t="s">
        <v>303</v>
      </c>
      <c r="G95" s="6" t="s">
        <v>52</v>
      </c>
      <c r="H95" s="19">
        <v>255000.0</v>
      </c>
      <c r="I95" s="34" t="s">
        <v>62</v>
      </c>
      <c r="J95" s="22">
        <v>300.0</v>
      </c>
      <c r="K95" s="22">
        <v>380.0</v>
      </c>
      <c r="L95" s="22">
        <v>3545.0</v>
      </c>
      <c r="M95" s="23">
        <v>0.55</v>
      </c>
      <c r="N95" s="24">
        <v>3.79</v>
      </c>
      <c r="O95" s="26" t="s">
        <v>29</v>
      </c>
      <c r="P95" s="26" t="s">
        <v>30</v>
      </c>
      <c r="Q95" s="27">
        <f t="shared" si="28"/>
        <v>11.81666667</v>
      </c>
      <c r="R95" s="23">
        <f t="shared" si="29"/>
        <v>0.05</v>
      </c>
      <c r="S95" s="27">
        <f t="shared" si="30"/>
        <v>12.4075</v>
      </c>
      <c r="T95" s="6" t="s">
        <v>72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6.5" customHeight="1">
      <c r="A96" s="7" t="b">
        <v>0</v>
      </c>
      <c r="B96" s="6" t="s">
        <v>41</v>
      </c>
      <c r="C96" s="6" t="s">
        <v>304</v>
      </c>
      <c r="D96" s="6" t="s">
        <v>305</v>
      </c>
      <c r="E96" s="6" t="s">
        <v>306</v>
      </c>
      <c r="F96" s="36" t="s">
        <v>136</v>
      </c>
      <c r="G96" s="6" t="s">
        <v>52</v>
      </c>
      <c r="H96" s="19">
        <v>41000.0</v>
      </c>
      <c r="I96" s="20" t="s">
        <v>33</v>
      </c>
      <c r="J96" s="22">
        <v>464.0</v>
      </c>
      <c r="K96" s="22">
        <v>444.0</v>
      </c>
      <c r="L96" s="22">
        <v>3700.0</v>
      </c>
      <c r="M96" s="23">
        <v>0.51</v>
      </c>
      <c r="N96" s="24">
        <v>3.56</v>
      </c>
      <c r="O96" s="26" t="s">
        <v>29</v>
      </c>
      <c r="P96" s="26" t="s">
        <v>30</v>
      </c>
      <c r="Q96" s="27">
        <f t="shared" si="28"/>
        <v>7.974137931</v>
      </c>
      <c r="R96" s="23">
        <f t="shared" si="29"/>
        <v>0.01</v>
      </c>
      <c r="S96" s="27">
        <f t="shared" si="30"/>
        <v>8.05387931</v>
      </c>
      <c r="T96" s="6" t="s">
        <v>40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6.5" customHeight="1">
      <c r="A97" s="7" t="b">
        <v>0</v>
      </c>
      <c r="B97" s="6" t="s">
        <v>58</v>
      </c>
      <c r="C97" s="6" t="s">
        <v>304</v>
      </c>
      <c r="D97" s="6" t="s">
        <v>307</v>
      </c>
      <c r="E97" s="6" t="s">
        <v>306</v>
      </c>
      <c r="F97" s="36" t="s">
        <v>205</v>
      </c>
      <c r="G97" s="6" t="s">
        <v>52</v>
      </c>
      <c r="H97" s="19">
        <v>55000.0</v>
      </c>
      <c r="I97" s="10" t="s">
        <v>27</v>
      </c>
      <c r="J97" s="22">
        <v>472.0</v>
      </c>
      <c r="K97" s="22">
        <v>444.0</v>
      </c>
      <c r="L97" s="22">
        <v>3860.0</v>
      </c>
      <c r="M97" s="23">
        <v>0.5</v>
      </c>
      <c r="N97" s="24">
        <v>3.56</v>
      </c>
      <c r="O97" s="26" t="s">
        <v>29</v>
      </c>
      <c r="P97" s="26" t="s">
        <v>30</v>
      </c>
      <c r="Q97" s="27">
        <f t="shared" si="28"/>
        <v>8.177966102</v>
      </c>
      <c r="R97" s="23">
        <f t="shared" si="29"/>
        <v>0</v>
      </c>
      <c r="S97" s="27">
        <f t="shared" si="30"/>
        <v>8.177966102</v>
      </c>
      <c r="T97" s="6" t="s">
        <v>40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6.5" customHeight="1">
      <c r="A98" s="7" t="b">
        <v>0</v>
      </c>
      <c r="B98" s="6" t="s">
        <v>58</v>
      </c>
      <c r="C98" s="6" t="s">
        <v>304</v>
      </c>
      <c r="D98" s="6" t="s">
        <v>308</v>
      </c>
      <c r="E98" s="6" t="s">
        <v>306</v>
      </c>
      <c r="F98" s="32" t="s">
        <v>309</v>
      </c>
      <c r="G98" s="6" t="s">
        <v>52</v>
      </c>
      <c r="H98" s="19">
        <v>90000.0</v>
      </c>
      <c r="I98" s="10" t="s">
        <v>27</v>
      </c>
      <c r="J98" s="22">
        <v>668.0</v>
      </c>
      <c r="K98" s="22">
        <v>658.0</v>
      </c>
      <c r="L98" s="22">
        <v>4123.0</v>
      </c>
      <c r="M98" s="23">
        <v>0.53</v>
      </c>
      <c r="N98" s="24">
        <v>6.16</v>
      </c>
      <c r="O98" s="26" t="s">
        <v>29</v>
      </c>
      <c r="P98" s="26" t="s">
        <v>30</v>
      </c>
      <c r="Q98" s="27">
        <f t="shared" si="28"/>
        <v>6.172155689</v>
      </c>
      <c r="R98" s="23">
        <f t="shared" si="29"/>
        <v>0.03</v>
      </c>
      <c r="S98" s="27">
        <f t="shared" si="30"/>
        <v>6.357320359</v>
      </c>
      <c r="T98" s="6" t="s">
        <v>40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6.5" customHeight="1">
      <c r="A99" s="7" t="b">
        <v>0</v>
      </c>
      <c r="B99" s="6" t="s">
        <v>41</v>
      </c>
      <c r="C99" s="6" t="s">
        <v>304</v>
      </c>
      <c r="D99" s="6" t="s">
        <v>310</v>
      </c>
      <c r="E99" s="6" t="s">
        <v>306</v>
      </c>
      <c r="F99" s="36" t="s">
        <v>311</v>
      </c>
      <c r="G99" s="6" t="s">
        <v>52</v>
      </c>
      <c r="H99" s="19">
        <v>60000.0</v>
      </c>
      <c r="I99" s="20" t="s">
        <v>33</v>
      </c>
      <c r="J99" s="22">
        <v>640.0</v>
      </c>
      <c r="K99" s="22">
        <v>630.0</v>
      </c>
      <c r="L99" s="22">
        <v>4128.0</v>
      </c>
      <c r="M99" s="23">
        <v>0.53</v>
      </c>
      <c r="N99" s="24">
        <v>6.16</v>
      </c>
      <c r="O99" s="26" t="s">
        <v>29</v>
      </c>
      <c r="P99" s="26" t="s">
        <v>30</v>
      </c>
      <c r="Q99" s="27">
        <f t="shared" si="28"/>
        <v>6.45</v>
      </c>
      <c r="R99" s="23">
        <f t="shared" si="29"/>
        <v>0.03</v>
      </c>
      <c r="S99" s="27">
        <f t="shared" si="30"/>
        <v>6.6435</v>
      </c>
      <c r="T99" s="6" t="s">
        <v>40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6.5" customHeight="1">
      <c r="A100" s="7" t="b">
        <v>0</v>
      </c>
      <c r="B100" s="6" t="s">
        <v>130</v>
      </c>
      <c r="C100" s="6" t="s">
        <v>304</v>
      </c>
      <c r="D100" s="6" t="s">
        <v>312</v>
      </c>
      <c r="E100" s="6" t="s">
        <v>92</v>
      </c>
      <c r="F100" s="17" t="s">
        <v>313</v>
      </c>
      <c r="G100" s="6" t="s">
        <v>52</v>
      </c>
      <c r="H100" s="19">
        <v>44000.0</v>
      </c>
      <c r="I100" s="10" t="s">
        <v>27</v>
      </c>
      <c r="J100" s="22">
        <v>304.0</v>
      </c>
      <c r="K100" s="22">
        <v>264.0</v>
      </c>
      <c r="L100" s="22">
        <v>5500.0</v>
      </c>
      <c r="M100" s="23">
        <v>0.6</v>
      </c>
      <c r="N100" s="24">
        <v>3.56</v>
      </c>
      <c r="O100" s="26" t="s">
        <v>30</v>
      </c>
      <c r="P100" s="26" t="s">
        <v>30</v>
      </c>
      <c r="Q100" s="27">
        <f t="shared" si="28"/>
        <v>18.09210526</v>
      </c>
      <c r="R100" s="23">
        <f t="shared" si="29"/>
        <v>0.1</v>
      </c>
      <c r="S100" s="27">
        <f t="shared" si="30"/>
        <v>19.90131579</v>
      </c>
      <c r="T100" s="6" t="s">
        <v>40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6.5" customHeight="1">
      <c r="A101" s="7" t="b">
        <v>0</v>
      </c>
      <c r="B101" s="6" t="s">
        <v>196</v>
      </c>
      <c r="C101" s="6" t="s">
        <v>314</v>
      </c>
      <c r="D101" s="6" t="s">
        <v>315</v>
      </c>
      <c r="E101" s="6" t="s">
        <v>316</v>
      </c>
      <c r="F101" s="25" t="s">
        <v>317</v>
      </c>
      <c r="G101" s="6" t="s">
        <v>318</v>
      </c>
      <c r="H101" s="19">
        <v>16000.0</v>
      </c>
      <c r="I101" s="20" t="s">
        <v>33</v>
      </c>
      <c r="J101" s="22">
        <v>172.0</v>
      </c>
      <c r="K101" s="22">
        <v>124.0</v>
      </c>
      <c r="L101" s="22">
        <v>1655.0</v>
      </c>
      <c r="M101" s="23">
        <v>0.4</v>
      </c>
      <c r="N101" s="24">
        <v>0.9</v>
      </c>
      <c r="O101" s="26" t="s">
        <v>71</v>
      </c>
      <c r="P101" s="26" t="s">
        <v>77</v>
      </c>
      <c r="Q101" s="27">
        <f t="shared" si="28"/>
        <v>9.622093023</v>
      </c>
      <c r="R101" s="23">
        <f t="shared" si="29"/>
        <v>0.1</v>
      </c>
      <c r="S101" s="27">
        <f t="shared" si="30"/>
        <v>10.58430233</v>
      </c>
      <c r="T101" s="6" t="s">
        <v>40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6.5" customHeight="1">
      <c r="A102" s="7" t="b">
        <v>0</v>
      </c>
      <c r="B102" s="5" t="s">
        <v>123</v>
      </c>
      <c r="C102" s="5" t="s">
        <v>319</v>
      </c>
      <c r="D102" s="5" t="s">
        <v>320</v>
      </c>
      <c r="E102" s="5" t="s">
        <v>114</v>
      </c>
      <c r="F102" s="36" t="s">
        <v>321</v>
      </c>
      <c r="G102" s="5" t="s">
        <v>52</v>
      </c>
      <c r="H102" s="9"/>
      <c r="I102" s="48"/>
      <c r="J102" s="9"/>
      <c r="K102" s="9"/>
      <c r="L102" s="9"/>
      <c r="M102" s="28"/>
      <c r="N102" s="29"/>
      <c r="O102" s="30"/>
      <c r="P102" s="30"/>
      <c r="Q102" s="16"/>
      <c r="R102" s="18"/>
      <c r="S102" s="16"/>
      <c r="T102" s="5" t="s">
        <v>129</v>
      </c>
      <c r="U102" s="21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6.5" customHeight="1">
      <c r="A103" s="7" t="b">
        <v>0</v>
      </c>
      <c r="B103" s="6" t="s">
        <v>322</v>
      </c>
      <c r="C103" s="6" t="s">
        <v>323</v>
      </c>
      <c r="D103" s="6" t="s">
        <v>324</v>
      </c>
      <c r="E103" s="6" t="s">
        <v>325</v>
      </c>
      <c r="F103" s="17" t="s">
        <v>326</v>
      </c>
      <c r="G103" s="6" t="s">
        <v>52</v>
      </c>
      <c r="H103" s="19">
        <v>140000.0</v>
      </c>
      <c r="I103" s="20" t="s">
        <v>33</v>
      </c>
      <c r="J103" s="22">
        <v>162.0</v>
      </c>
      <c r="K103" s="22">
        <v>257.0</v>
      </c>
      <c r="L103" s="22">
        <v>3309.0</v>
      </c>
      <c r="M103" s="23">
        <v>0.55</v>
      </c>
      <c r="N103" s="24">
        <v>4.34</v>
      </c>
      <c r="O103" s="26" t="s">
        <v>29</v>
      </c>
      <c r="P103" s="26" t="s">
        <v>30</v>
      </c>
      <c r="Q103" s="27">
        <f t="shared" ref="Q103:Q109" si="31">L103/J103</f>
        <v>20.42592593</v>
      </c>
      <c r="R103" s="23">
        <f t="shared" ref="R103:R109" si="32">0+((ABS(0.5-M103)*1))</f>
        <v>0.05</v>
      </c>
      <c r="S103" s="27">
        <f t="shared" ref="S103:S109" si="33">Q103*(R103+1)</f>
        <v>21.44722222</v>
      </c>
      <c r="T103" s="6" t="s">
        <v>40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6.5" customHeight="1">
      <c r="A104" s="7" t="b">
        <v>0</v>
      </c>
      <c r="B104" s="6" t="s">
        <v>247</v>
      </c>
      <c r="C104" s="6" t="s">
        <v>323</v>
      </c>
      <c r="D104" s="6" t="s">
        <v>327</v>
      </c>
      <c r="E104" s="6" t="s">
        <v>325</v>
      </c>
      <c r="F104" s="17" t="s">
        <v>328</v>
      </c>
      <c r="G104" s="6" t="s">
        <v>52</v>
      </c>
      <c r="H104" s="19">
        <v>69000.0</v>
      </c>
      <c r="I104" s="10" t="s">
        <v>27</v>
      </c>
      <c r="J104" s="22">
        <v>220.0</v>
      </c>
      <c r="K104" s="22">
        <v>300.0</v>
      </c>
      <c r="L104" s="22">
        <v>3337.0</v>
      </c>
      <c r="M104" s="23">
        <v>0.57</v>
      </c>
      <c r="N104" s="24">
        <v>4.64</v>
      </c>
      <c r="O104" s="26" t="s">
        <v>29</v>
      </c>
      <c r="P104" s="26" t="s">
        <v>30</v>
      </c>
      <c r="Q104" s="27">
        <f t="shared" si="31"/>
        <v>15.16818182</v>
      </c>
      <c r="R104" s="23">
        <f t="shared" si="32"/>
        <v>0.07</v>
      </c>
      <c r="S104" s="27">
        <f t="shared" si="33"/>
        <v>16.22995455</v>
      </c>
      <c r="T104" s="6" t="s">
        <v>40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6.5" customHeight="1">
      <c r="A105" s="7" t="b">
        <v>0</v>
      </c>
      <c r="B105" s="6" t="s">
        <v>329</v>
      </c>
      <c r="C105" s="6" t="s">
        <v>323</v>
      </c>
      <c r="D105" s="6" t="s">
        <v>330</v>
      </c>
      <c r="E105" s="6" t="s">
        <v>331</v>
      </c>
      <c r="F105" s="8" t="s">
        <v>57</v>
      </c>
      <c r="G105" s="6" t="s">
        <v>52</v>
      </c>
      <c r="H105" s="19">
        <v>75000.0</v>
      </c>
      <c r="I105" s="10" t="s">
        <v>27</v>
      </c>
      <c r="J105" s="22">
        <v>375.0</v>
      </c>
      <c r="K105" s="22">
        <v>415.0</v>
      </c>
      <c r="L105" s="22">
        <v>3527.0</v>
      </c>
      <c r="M105" s="23">
        <v>0.58</v>
      </c>
      <c r="N105" s="24">
        <v>6.48</v>
      </c>
      <c r="O105" s="26" t="s">
        <v>29</v>
      </c>
      <c r="P105" s="26" t="s">
        <v>30</v>
      </c>
      <c r="Q105" s="27">
        <f t="shared" si="31"/>
        <v>9.405333333</v>
      </c>
      <c r="R105" s="23">
        <f t="shared" si="32"/>
        <v>0.08</v>
      </c>
      <c r="S105" s="27">
        <f t="shared" si="33"/>
        <v>10.15776</v>
      </c>
      <c r="T105" s="6" t="s">
        <v>40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6.5" customHeight="1">
      <c r="A106" s="7" t="b">
        <v>0</v>
      </c>
      <c r="B106" s="6" t="s">
        <v>116</v>
      </c>
      <c r="C106" s="6" t="s">
        <v>323</v>
      </c>
      <c r="D106" s="6" t="s">
        <v>332</v>
      </c>
      <c r="E106" s="6" t="s">
        <v>231</v>
      </c>
      <c r="F106" s="36" t="s">
        <v>333</v>
      </c>
      <c r="G106" s="6" t="s">
        <v>52</v>
      </c>
      <c r="H106" s="19">
        <v>65000.0</v>
      </c>
      <c r="I106" s="10" t="s">
        <v>27</v>
      </c>
      <c r="J106" s="22">
        <v>505.0</v>
      </c>
      <c r="K106" s="22">
        <v>481.0</v>
      </c>
      <c r="L106" s="22">
        <v>3837.0</v>
      </c>
      <c r="M106" s="23">
        <v>0.52</v>
      </c>
      <c r="N106" s="24">
        <v>7.01</v>
      </c>
      <c r="O106" s="26" t="s">
        <v>29</v>
      </c>
      <c r="P106" s="26" t="s">
        <v>30</v>
      </c>
      <c r="Q106" s="27">
        <f t="shared" si="31"/>
        <v>7.598019802</v>
      </c>
      <c r="R106" s="23">
        <f t="shared" si="32"/>
        <v>0.02</v>
      </c>
      <c r="S106" s="27">
        <f t="shared" si="33"/>
        <v>7.749980198</v>
      </c>
      <c r="T106" s="6" t="s">
        <v>40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6.5" customHeight="1">
      <c r="A107" s="7" t="b">
        <v>0</v>
      </c>
      <c r="B107" s="6" t="s">
        <v>334</v>
      </c>
      <c r="C107" s="6" t="s">
        <v>323</v>
      </c>
      <c r="D107" s="6" t="s">
        <v>335</v>
      </c>
      <c r="E107" s="6" t="s">
        <v>331</v>
      </c>
      <c r="F107" s="8" t="s">
        <v>336</v>
      </c>
      <c r="G107" s="6" t="s">
        <v>52</v>
      </c>
      <c r="H107" s="19">
        <v>55000.0</v>
      </c>
      <c r="I107" s="10" t="s">
        <v>27</v>
      </c>
      <c r="J107" s="22">
        <v>360.0</v>
      </c>
      <c r="K107" s="22">
        <v>380.0</v>
      </c>
      <c r="L107" s="22">
        <v>3550.0</v>
      </c>
      <c r="M107" s="23">
        <v>0.57</v>
      </c>
      <c r="N107" s="24">
        <v>5.74</v>
      </c>
      <c r="O107" s="26" t="s">
        <v>29</v>
      </c>
      <c r="P107" s="26" t="s">
        <v>30</v>
      </c>
      <c r="Q107" s="27">
        <f t="shared" si="31"/>
        <v>9.861111111</v>
      </c>
      <c r="R107" s="23">
        <f t="shared" si="32"/>
        <v>0.07</v>
      </c>
      <c r="S107" s="27">
        <f t="shared" si="33"/>
        <v>10.55138889</v>
      </c>
      <c r="T107" s="6" t="s">
        <v>40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6.5" customHeight="1">
      <c r="A108" s="7" t="b">
        <v>0</v>
      </c>
      <c r="B108" s="6" t="s">
        <v>337</v>
      </c>
      <c r="C108" s="6" t="s">
        <v>323</v>
      </c>
      <c r="D108" s="6" t="s">
        <v>335</v>
      </c>
      <c r="E108" s="6" t="s">
        <v>331</v>
      </c>
      <c r="F108" s="17" t="s">
        <v>338</v>
      </c>
      <c r="G108" s="6" t="s">
        <v>52</v>
      </c>
      <c r="H108" s="19">
        <v>20000.0</v>
      </c>
      <c r="I108" s="10" t="s">
        <v>27</v>
      </c>
      <c r="J108" s="22">
        <v>175.0</v>
      </c>
      <c r="K108" s="22">
        <v>270.0</v>
      </c>
      <c r="L108" s="22">
        <v>3560.0</v>
      </c>
      <c r="M108" s="23">
        <v>0.56</v>
      </c>
      <c r="N108" s="24">
        <v>5.73</v>
      </c>
      <c r="O108" s="26" t="s">
        <v>29</v>
      </c>
      <c r="P108" s="26" t="s">
        <v>30</v>
      </c>
      <c r="Q108" s="27">
        <f t="shared" si="31"/>
        <v>20.34285714</v>
      </c>
      <c r="R108" s="23">
        <f t="shared" si="32"/>
        <v>0.06</v>
      </c>
      <c r="S108" s="27">
        <f t="shared" si="33"/>
        <v>21.56342857</v>
      </c>
      <c r="T108" s="6" t="s">
        <v>40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6.5" customHeight="1">
      <c r="A109" s="7" t="b">
        <v>0</v>
      </c>
      <c r="B109" s="6" t="s">
        <v>21</v>
      </c>
      <c r="C109" s="6" t="s">
        <v>323</v>
      </c>
      <c r="D109" s="6" t="s">
        <v>339</v>
      </c>
      <c r="E109" s="6" t="s">
        <v>306</v>
      </c>
      <c r="F109" s="32" t="s">
        <v>340</v>
      </c>
      <c r="G109" s="6" t="s">
        <v>52</v>
      </c>
      <c r="H109" s="19">
        <v>55000.0</v>
      </c>
      <c r="I109" s="10" t="s">
        <v>27</v>
      </c>
      <c r="J109" s="22">
        <v>650.0</v>
      </c>
      <c r="K109" s="22">
        <v>650.0</v>
      </c>
      <c r="L109" s="22">
        <v>3883.0</v>
      </c>
      <c r="M109" s="23">
        <v>0.5</v>
      </c>
      <c r="N109" s="24">
        <v>6.44</v>
      </c>
      <c r="O109" s="26" t="s">
        <v>29</v>
      </c>
      <c r="P109" s="26" t="s">
        <v>30</v>
      </c>
      <c r="Q109" s="27">
        <f t="shared" si="31"/>
        <v>5.973846154</v>
      </c>
      <c r="R109" s="23">
        <f t="shared" si="32"/>
        <v>0</v>
      </c>
      <c r="S109" s="27">
        <f t="shared" si="33"/>
        <v>5.973846154</v>
      </c>
      <c r="T109" s="6" t="s">
        <v>40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6.5" customHeight="1">
      <c r="A110" s="7" t="b">
        <v>0</v>
      </c>
      <c r="B110" s="5" t="s">
        <v>292</v>
      </c>
      <c r="C110" s="5" t="s">
        <v>323</v>
      </c>
      <c r="D110" s="5" t="s">
        <v>339</v>
      </c>
      <c r="E110" s="5" t="s">
        <v>306</v>
      </c>
      <c r="F110" s="32" t="s">
        <v>341</v>
      </c>
      <c r="G110" s="5" t="s">
        <v>52</v>
      </c>
      <c r="H110" s="9"/>
      <c r="I110" s="19"/>
      <c r="J110" s="9"/>
      <c r="K110" s="9"/>
      <c r="L110" s="9"/>
      <c r="M110" s="28"/>
      <c r="N110" s="29"/>
      <c r="O110" s="30"/>
      <c r="P110" s="30"/>
      <c r="Q110" s="16"/>
      <c r="R110" s="18"/>
      <c r="S110" s="16"/>
      <c r="T110" s="5" t="s">
        <v>34</v>
      </c>
      <c r="U110" s="21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6.5" customHeight="1">
      <c r="A111" s="7" t="b">
        <v>0</v>
      </c>
      <c r="B111" s="6" t="s">
        <v>196</v>
      </c>
      <c r="C111" s="6" t="s">
        <v>323</v>
      </c>
      <c r="D111" s="6" t="s">
        <v>342</v>
      </c>
      <c r="E111" s="6" t="s">
        <v>231</v>
      </c>
      <c r="F111" s="32" t="s">
        <v>343</v>
      </c>
      <c r="G111" s="6" t="s">
        <v>52</v>
      </c>
      <c r="H111" s="19">
        <v>70000.0</v>
      </c>
      <c r="I111" s="10" t="s">
        <v>27</v>
      </c>
      <c r="J111" s="22">
        <v>650.0</v>
      </c>
      <c r="K111" s="22">
        <v>650.0</v>
      </c>
      <c r="L111" s="22">
        <v>3837.0</v>
      </c>
      <c r="M111" s="23">
        <v>0.54</v>
      </c>
      <c r="N111" s="24">
        <v>6.16</v>
      </c>
      <c r="O111" s="26" t="s">
        <v>29</v>
      </c>
      <c r="P111" s="26" t="s">
        <v>30</v>
      </c>
      <c r="Q111" s="27">
        <f t="shared" ref="Q111:Q113" si="34">L111/J111</f>
        <v>5.903076923</v>
      </c>
      <c r="R111" s="23">
        <f t="shared" ref="R111:R113" si="35">0+((ABS(0.5-M111)*1))</f>
        <v>0.04</v>
      </c>
      <c r="S111" s="27">
        <f t="shared" ref="S111:S113" si="36">Q111*(R111+1)</f>
        <v>6.1392</v>
      </c>
      <c r="T111" s="6" t="s">
        <v>40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6.5" customHeight="1">
      <c r="A112" s="7" t="b">
        <v>0</v>
      </c>
      <c r="B112" s="6" t="s">
        <v>334</v>
      </c>
      <c r="C112" s="6" t="s">
        <v>323</v>
      </c>
      <c r="D112" s="6" t="s">
        <v>344</v>
      </c>
      <c r="E112" s="6" t="s">
        <v>331</v>
      </c>
      <c r="F112" s="8" t="s">
        <v>241</v>
      </c>
      <c r="G112" s="6" t="s">
        <v>52</v>
      </c>
      <c r="H112" s="19">
        <v>90000.0</v>
      </c>
      <c r="I112" s="10" t="s">
        <v>27</v>
      </c>
      <c r="J112" s="22">
        <v>450.0</v>
      </c>
      <c r="K112" s="22">
        <v>500.0</v>
      </c>
      <c r="L112" s="22">
        <v>3799.0</v>
      </c>
      <c r="M112" s="23">
        <v>0.59</v>
      </c>
      <c r="N112" s="24">
        <v>7.44</v>
      </c>
      <c r="O112" s="26" t="s">
        <v>29</v>
      </c>
      <c r="P112" s="26" t="s">
        <v>30</v>
      </c>
      <c r="Q112" s="27">
        <f t="shared" si="34"/>
        <v>8.442222222</v>
      </c>
      <c r="R112" s="23">
        <f t="shared" si="35"/>
        <v>0.09</v>
      </c>
      <c r="S112" s="27">
        <f t="shared" si="36"/>
        <v>9.202022222</v>
      </c>
      <c r="T112" s="6" t="s">
        <v>40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6.5" customHeight="1">
      <c r="A113" s="7" t="b">
        <v>0</v>
      </c>
      <c r="B113" s="6" t="s">
        <v>345</v>
      </c>
      <c r="C113" s="6" t="s">
        <v>323</v>
      </c>
      <c r="D113" s="6" t="s">
        <v>346</v>
      </c>
      <c r="E113" s="6" t="s">
        <v>221</v>
      </c>
      <c r="F113" s="17" t="s">
        <v>347</v>
      </c>
      <c r="G113" s="6" t="s">
        <v>52</v>
      </c>
      <c r="H113" s="19">
        <v>269000.0</v>
      </c>
      <c r="I113" s="35" t="s">
        <v>76</v>
      </c>
      <c r="J113" s="22">
        <v>160.0</v>
      </c>
      <c r="K113" s="22">
        <v>223.0</v>
      </c>
      <c r="L113" s="22">
        <v>2900.0</v>
      </c>
      <c r="M113" s="23">
        <v>0.53</v>
      </c>
      <c r="N113" s="24">
        <v>3.86</v>
      </c>
      <c r="O113" s="26" t="s">
        <v>29</v>
      </c>
      <c r="P113" s="26" t="s">
        <v>30</v>
      </c>
      <c r="Q113" s="27">
        <f t="shared" si="34"/>
        <v>18.125</v>
      </c>
      <c r="R113" s="23">
        <f t="shared" si="35"/>
        <v>0.03</v>
      </c>
      <c r="S113" s="27">
        <f t="shared" si="36"/>
        <v>18.66875</v>
      </c>
      <c r="T113" s="6" t="s">
        <v>40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6.5" customHeight="1">
      <c r="A114" s="7" t="b">
        <v>0</v>
      </c>
      <c r="B114" s="5" t="s">
        <v>348</v>
      </c>
      <c r="C114" s="5" t="s">
        <v>323</v>
      </c>
      <c r="D114" s="5" t="s">
        <v>346</v>
      </c>
      <c r="E114" s="5" t="s">
        <v>221</v>
      </c>
      <c r="F114" s="8" t="s">
        <v>349</v>
      </c>
      <c r="G114" s="5" t="s">
        <v>52</v>
      </c>
      <c r="H114" s="9"/>
      <c r="I114" s="48"/>
      <c r="J114" s="9"/>
      <c r="K114" s="9"/>
      <c r="L114" s="9"/>
      <c r="M114" s="28"/>
      <c r="N114" s="29"/>
      <c r="O114" s="30"/>
      <c r="P114" s="30"/>
      <c r="Q114" s="16"/>
      <c r="R114" s="18"/>
      <c r="S114" s="16"/>
      <c r="T114" s="5" t="s">
        <v>129</v>
      </c>
      <c r="U114" s="21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6.5" customHeight="1">
      <c r="A115" s="7" t="b">
        <v>0</v>
      </c>
      <c r="B115" s="6" t="s">
        <v>292</v>
      </c>
      <c r="C115" s="6" t="s">
        <v>323</v>
      </c>
      <c r="D115" s="6" t="s">
        <v>350</v>
      </c>
      <c r="E115" s="6" t="s">
        <v>60</v>
      </c>
      <c r="F115" s="32" t="s">
        <v>351</v>
      </c>
      <c r="G115" s="6" t="s">
        <v>52</v>
      </c>
      <c r="H115" s="19">
        <v>114000.0</v>
      </c>
      <c r="I115" s="34" t="s">
        <v>62</v>
      </c>
      <c r="J115" s="22">
        <v>645.0</v>
      </c>
      <c r="K115" s="22">
        <v>591.0</v>
      </c>
      <c r="L115" s="22">
        <v>3890.0</v>
      </c>
      <c r="M115" s="23">
        <v>0.41</v>
      </c>
      <c r="N115" s="24">
        <v>6.16</v>
      </c>
      <c r="O115" s="26" t="s">
        <v>71</v>
      </c>
      <c r="P115" s="26" t="s">
        <v>77</v>
      </c>
      <c r="Q115" s="27">
        <f>L115/J115</f>
        <v>6.031007752</v>
      </c>
      <c r="R115" s="23">
        <f>0+((ABS(0.5-M115)*1))</f>
        <v>0.09</v>
      </c>
      <c r="S115" s="27">
        <f>Q115*(R115+1)</f>
        <v>6.57379845</v>
      </c>
      <c r="T115" s="6" t="s">
        <v>165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6.5" customHeight="1">
      <c r="A116" s="7" t="b">
        <v>0</v>
      </c>
      <c r="B116" s="5" t="s">
        <v>352</v>
      </c>
      <c r="C116" s="5" t="s">
        <v>323</v>
      </c>
      <c r="D116" s="5" t="s">
        <v>353</v>
      </c>
      <c r="E116" s="5" t="s">
        <v>331</v>
      </c>
      <c r="F116" s="25" t="s">
        <v>254</v>
      </c>
      <c r="G116" s="5" t="s">
        <v>52</v>
      </c>
      <c r="H116" s="9"/>
      <c r="I116" s="48"/>
      <c r="J116" s="9"/>
      <c r="K116" s="9"/>
      <c r="L116" s="9"/>
      <c r="M116" s="28"/>
      <c r="N116" s="29"/>
      <c r="O116" s="30"/>
      <c r="P116" s="30"/>
      <c r="Q116" s="16"/>
      <c r="R116" s="18"/>
      <c r="S116" s="16"/>
      <c r="T116" s="5" t="s">
        <v>103</v>
      </c>
      <c r="U116" s="21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6.5" customHeight="1">
      <c r="A117" s="7" t="b">
        <v>0</v>
      </c>
      <c r="B117" s="6" t="s">
        <v>180</v>
      </c>
      <c r="C117" s="6" t="s">
        <v>323</v>
      </c>
      <c r="D117" s="6" t="s">
        <v>354</v>
      </c>
      <c r="E117" s="6" t="s">
        <v>60</v>
      </c>
      <c r="F117" s="36" t="s">
        <v>262</v>
      </c>
      <c r="G117" s="6" t="s">
        <v>52</v>
      </c>
      <c r="H117" s="19">
        <v>65000.0</v>
      </c>
      <c r="I117" s="10" t="s">
        <v>27</v>
      </c>
      <c r="J117" s="22">
        <v>495.0</v>
      </c>
      <c r="K117" s="22">
        <v>469.0</v>
      </c>
      <c r="L117" s="22">
        <v>3577.0</v>
      </c>
      <c r="M117" s="23">
        <v>0.4</v>
      </c>
      <c r="N117" s="24">
        <v>6.16</v>
      </c>
      <c r="O117" s="26" t="s">
        <v>29</v>
      </c>
      <c r="P117" s="26" t="s">
        <v>77</v>
      </c>
      <c r="Q117" s="27">
        <f t="shared" ref="Q117:Q123" si="37">L117/J117</f>
        <v>7.226262626</v>
      </c>
      <c r="R117" s="23">
        <f t="shared" ref="R117:R123" si="38">0+((ABS(0.5-M117)*1))</f>
        <v>0.1</v>
      </c>
      <c r="S117" s="27">
        <f t="shared" ref="S117:S123" si="39">Q117*(R117+1)</f>
        <v>7.948888889</v>
      </c>
      <c r="T117" s="6" t="s">
        <v>40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6.5" customHeight="1">
      <c r="A118" s="7" t="b">
        <v>0</v>
      </c>
      <c r="B118" s="6" t="s">
        <v>63</v>
      </c>
      <c r="C118" s="6" t="s">
        <v>323</v>
      </c>
      <c r="D118" s="6" t="s">
        <v>355</v>
      </c>
      <c r="E118" s="6" t="s">
        <v>302</v>
      </c>
      <c r="F118" s="36" t="s">
        <v>356</v>
      </c>
      <c r="G118" s="6" t="s">
        <v>52</v>
      </c>
      <c r="H118" s="19">
        <v>33000.0</v>
      </c>
      <c r="I118" s="20" t="s">
        <v>33</v>
      </c>
      <c r="J118" s="22">
        <v>405.0</v>
      </c>
      <c r="K118" s="22">
        <v>400.0</v>
      </c>
      <c r="L118" s="22">
        <v>3120.0</v>
      </c>
      <c r="M118" s="23">
        <v>0.56</v>
      </c>
      <c r="N118" s="24">
        <v>5.67</v>
      </c>
      <c r="O118" s="26" t="s">
        <v>29</v>
      </c>
      <c r="P118" s="26" t="s">
        <v>30</v>
      </c>
      <c r="Q118" s="27">
        <f t="shared" si="37"/>
        <v>7.703703704</v>
      </c>
      <c r="R118" s="23">
        <f t="shared" si="38"/>
        <v>0.06</v>
      </c>
      <c r="S118" s="27">
        <f t="shared" si="39"/>
        <v>8.165925926</v>
      </c>
      <c r="T118" s="6" t="s">
        <v>40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6.5" customHeight="1">
      <c r="A119" s="7" t="b">
        <v>0</v>
      </c>
      <c r="B119" s="6" t="s">
        <v>116</v>
      </c>
      <c r="C119" s="6" t="s">
        <v>323</v>
      </c>
      <c r="D119" s="6" t="s">
        <v>355</v>
      </c>
      <c r="E119" s="6" t="s">
        <v>306</v>
      </c>
      <c r="F119" s="32" t="s">
        <v>357</v>
      </c>
      <c r="G119" s="6" t="s">
        <v>52</v>
      </c>
      <c r="H119" s="19">
        <v>100000.0</v>
      </c>
      <c r="I119" s="10" t="s">
        <v>27</v>
      </c>
      <c r="J119" s="22">
        <v>650.0</v>
      </c>
      <c r="K119" s="22">
        <v>650.0</v>
      </c>
      <c r="L119" s="22">
        <v>3536.0</v>
      </c>
      <c r="M119" s="23">
        <v>0.5</v>
      </c>
      <c r="N119" s="24">
        <v>6.16</v>
      </c>
      <c r="O119" s="26" t="s">
        <v>29</v>
      </c>
      <c r="P119" s="26" t="s">
        <v>30</v>
      </c>
      <c r="Q119" s="27">
        <f t="shared" si="37"/>
        <v>5.44</v>
      </c>
      <c r="R119" s="23">
        <f t="shared" si="38"/>
        <v>0</v>
      </c>
      <c r="S119" s="27">
        <f t="shared" si="39"/>
        <v>5.44</v>
      </c>
      <c r="T119" s="6" t="s">
        <v>40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6.5" customHeight="1">
      <c r="A120" s="7" t="b">
        <v>0</v>
      </c>
      <c r="B120" s="6" t="s">
        <v>48</v>
      </c>
      <c r="C120" s="6" t="s">
        <v>323</v>
      </c>
      <c r="D120" s="6" t="s">
        <v>355</v>
      </c>
      <c r="E120" s="6" t="s">
        <v>231</v>
      </c>
      <c r="F120" s="32" t="s">
        <v>358</v>
      </c>
      <c r="G120" s="6" t="s">
        <v>52</v>
      </c>
      <c r="H120" s="19">
        <v>155000.0</v>
      </c>
      <c r="I120" s="34" t="s">
        <v>62</v>
      </c>
      <c r="J120" s="22">
        <v>670.0</v>
      </c>
      <c r="K120" s="22">
        <v>460.0</v>
      </c>
      <c r="L120" s="22">
        <v>3557.0</v>
      </c>
      <c r="M120" s="23">
        <v>0.39</v>
      </c>
      <c r="N120" s="24">
        <v>5.46</v>
      </c>
      <c r="O120" s="26" t="s">
        <v>29</v>
      </c>
      <c r="P120" s="26" t="s">
        <v>77</v>
      </c>
      <c r="Q120" s="27">
        <f t="shared" si="37"/>
        <v>5.308955224</v>
      </c>
      <c r="R120" s="23">
        <f t="shared" si="38"/>
        <v>0.11</v>
      </c>
      <c r="S120" s="27">
        <f t="shared" si="39"/>
        <v>5.892940299</v>
      </c>
      <c r="T120" s="6" t="s">
        <v>40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6.5" customHeight="1">
      <c r="A121" s="7" t="b">
        <v>0</v>
      </c>
      <c r="B121" s="6" t="s">
        <v>334</v>
      </c>
      <c r="C121" s="6" t="s">
        <v>323</v>
      </c>
      <c r="D121" s="6" t="s">
        <v>359</v>
      </c>
      <c r="E121" s="6" t="s">
        <v>331</v>
      </c>
      <c r="F121" s="8" t="s">
        <v>360</v>
      </c>
      <c r="G121" s="6" t="s">
        <v>52</v>
      </c>
      <c r="H121" s="19">
        <v>250000.0</v>
      </c>
      <c r="I121" s="34" t="s">
        <v>62</v>
      </c>
      <c r="J121" s="22">
        <v>370.0</v>
      </c>
      <c r="K121" s="22">
        <v>380.0</v>
      </c>
      <c r="L121" s="22">
        <v>3373.0</v>
      </c>
      <c r="M121" s="23">
        <v>0.49</v>
      </c>
      <c r="N121" s="24">
        <v>5.74</v>
      </c>
      <c r="O121" s="26" t="s">
        <v>29</v>
      </c>
      <c r="P121" s="26" t="s">
        <v>30</v>
      </c>
      <c r="Q121" s="27">
        <f t="shared" si="37"/>
        <v>9.116216216</v>
      </c>
      <c r="R121" s="23">
        <f t="shared" si="38"/>
        <v>0.01</v>
      </c>
      <c r="S121" s="27">
        <f t="shared" si="39"/>
        <v>9.207378378</v>
      </c>
      <c r="T121" s="6" t="s">
        <v>40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6.5" customHeight="1">
      <c r="A122" s="7" t="b">
        <v>0</v>
      </c>
      <c r="B122" s="6" t="s">
        <v>242</v>
      </c>
      <c r="C122" s="6" t="s">
        <v>323</v>
      </c>
      <c r="D122" s="6" t="s">
        <v>359</v>
      </c>
      <c r="E122" s="6" t="s">
        <v>302</v>
      </c>
      <c r="F122" s="25" t="s">
        <v>361</v>
      </c>
      <c r="G122" s="6" t="s">
        <v>52</v>
      </c>
      <c r="H122" s="19">
        <v>76000.0</v>
      </c>
      <c r="I122" s="20" t="s">
        <v>33</v>
      </c>
      <c r="J122" s="22">
        <v>405.0</v>
      </c>
      <c r="K122" s="22">
        <v>385.0</v>
      </c>
      <c r="L122" s="22">
        <v>3505.0</v>
      </c>
      <c r="M122" s="23">
        <v>0.52</v>
      </c>
      <c r="N122" s="24">
        <v>5.73</v>
      </c>
      <c r="O122" s="26" t="s">
        <v>29</v>
      </c>
      <c r="P122" s="26" t="s">
        <v>30</v>
      </c>
      <c r="Q122" s="27">
        <f t="shared" si="37"/>
        <v>8.654320988</v>
      </c>
      <c r="R122" s="23">
        <f t="shared" si="38"/>
        <v>0.02</v>
      </c>
      <c r="S122" s="27">
        <f t="shared" si="39"/>
        <v>8.827407407</v>
      </c>
      <c r="T122" s="6" t="s">
        <v>40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6.5" customHeight="1">
      <c r="A123" s="7" t="b">
        <v>0</v>
      </c>
      <c r="B123" s="6" t="s">
        <v>177</v>
      </c>
      <c r="C123" s="6" t="s">
        <v>323</v>
      </c>
      <c r="D123" s="6" t="s">
        <v>362</v>
      </c>
      <c r="E123" s="6" t="s">
        <v>306</v>
      </c>
      <c r="F123" s="32" t="s">
        <v>363</v>
      </c>
      <c r="G123" s="6" t="s">
        <v>52</v>
      </c>
      <c r="H123" s="19">
        <v>125000.0</v>
      </c>
      <c r="I123" s="10" t="s">
        <v>27</v>
      </c>
      <c r="J123" s="22">
        <v>638.0</v>
      </c>
      <c r="K123" s="22">
        <v>604.0</v>
      </c>
      <c r="L123" s="22">
        <v>3350.0</v>
      </c>
      <c r="M123" s="23">
        <v>0.52</v>
      </c>
      <c r="N123" s="24">
        <v>6.16</v>
      </c>
      <c r="O123" s="26" t="s">
        <v>29</v>
      </c>
      <c r="P123" s="26" t="s">
        <v>30</v>
      </c>
      <c r="Q123" s="27">
        <f t="shared" si="37"/>
        <v>5.250783699</v>
      </c>
      <c r="R123" s="23">
        <f t="shared" si="38"/>
        <v>0.02</v>
      </c>
      <c r="S123" s="27">
        <f t="shared" si="39"/>
        <v>5.355799373</v>
      </c>
      <c r="T123" s="6" t="s">
        <v>40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6.5" customHeight="1">
      <c r="A124" s="7" t="b">
        <v>0</v>
      </c>
      <c r="B124" s="5" t="s">
        <v>123</v>
      </c>
      <c r="C124" s="5" t="s">
        <v>323</v>
      </c>
      <c r="D124" s="5" t="s">
        <v>362</v>
      </c>
      <c r="E124" s="5" t="s">
        <v>231</v>
      </c>
      <c r="F124" s="32" t="s">
        <v>364</v>
      </c>
      <c r="G124" s="5" t="s">
        <v>52</v>
      </c>
      <c r="H124" s="9"/>
      <c r="I124" s="48"/>
      <c r="J124" s="9"/>
      <c r="K124" s="9"/>
      <c r="L124" s="9"/>
      <c r="M124" s="28"/>
      <c r="N124" s="29"/>
      <c r="O124" s="30"/>
      <c r="P124" s="30"/>
      <c r="Q124" s="16"/>
      <c r="R124" s="18"/>
      <c r="S124" s="16"/>
      <c r="T124" s="5" t="s">
        <v>129</v>
      </c>
      <c r="U124" s="21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6.5" customHeight="1">
      <c r="A125" s="7" t="b">
        <v>0</v>
      </c>
      <c r="B125" s="6" t="s">
        <v>334</v>
      </c>
      <c r="C125" s="6" t="s">
        <v>323</v>
      </c>
      <c r="D125" s="6" t="s">
        <v>365</v>
      </c>
      <c r="E125" s="6" t="s">
        <v>366</v>
      </c>
      <c r="F125" s="8" t="s">
        <v>336</v>
      </c>
      <c r="G125" s="6" t="s">
        <v>52</v>
      </c>
      <c r="H125" s="19">
        <v>36000.0</v>
      </c>
      <c r="I125" s="10" t="s">
        <v>27</v>
      </c>
      <c r="J125" s="22">
        <v>450.0</v>
      </c>
      <c r="K125" s="22">
        <v>500.0</v>
      </c>
      <c r="L125" s="22">
        <v>3820.0</v>
      </c>
      <c r="M125" s="23">
        <v>0.6</v>
      </c>
      <c r="N125" s="24">
        <v>7.44</v>
      </c>
      <c r="O125" s="26" t="s">
        <v>29</v>
      </c>
      <c r="P125" s="26" t="s">
        <v>30</v>
      </c>
      <c r="Q125" s="27">
        <f t="shared" ref="Q125:Q132" si="40">L125/J125</f>
        <v>8.488888889</v>
      </c>
      <c r="R125" s="23">
        <f t="shared" ref="R125:R132" si="41">0+((ABS(0.5-M125)*1))</f>
        <v>0.1</v>
      </c>
      <c r="S125" s="27">
        <f t="shared" ref="S125:S132" si="42">Q125*(R125+1)</f>
        <v>9.337777778</v>
      </c>
      <c r="T125" s="6" t="s">
        <v>40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6.5" customHeight="1">
      <c r="A126" s="7" t="b">
        <v>0</v>
      </c>
      <c r="B126" s="6" t="s">
        <v>367</v>
      </c>
      <c r="C126" s="6" t="s">
        <v>323</v>
      </c>
      <c r="D126" s="6" t="s">
        <v>368</v>
      </c>
      <c r="E126" s="6" t="s">
        <v>302</v>
      </c>
      <c r="F126" s="8" t="s">
        <v>369</v>
      </c>
      <c r="G126" s="6" t="s">
        <v>52</v>
      </c>
      <c r="H126" s="19">
        <v>30000.0</v>
      </c>
      <c r="I126" s="20" t="s">
        <v>33</v>
      </c>
      <c r="J126" s="22">
        <v>260.0</v>
      </c>
      <c r="K126" s="22">
        <v>330.0</v>
      </c>
      <c r="L126" s="22">
        <v>4037.0</v>
      </c>
      <c r="M126" s="23">
        <v>0.55</v>
      </c>
      <c r="N126" s="24">
        <v>5.73</v>
      </c>
      <c r="O126" s="26" t="s">
        <v>29</v>
      </c>
      <c r="P126" s="26" t="s">
        <v>30</v>
      </c>
      <c r="Q126" s="27">
        <f t="shared" si="40"/>
        <v>15.52692308</v>
      </c>
      <c r="R126" s="23">
        <f t="shared" si="41"/>
        <v>0.05</v>
      </c>
      <c r="S126" s="27">
        <f t="shared" si="42"/>
        <v>16.30326923</v>
      </c>
      <c r="T126" s="6" t="s">
        <v>40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6.5" customHeight="1">
      <c r="A127" s="7" t="b">
        <v>0</v>
      </c>
      <c r="B127" s="6" t="s">
        <v>143</v>
      </c>
      <c r="C127" s="6" t="s">
        <v>323</v>
      </c>
      <c r="D127" s="6" t="s">
        <v>370</v>
      </c>
      <c r="E127" s="6" t="s">
        <v>325</v>
      </c>
      <c r="F127" s="8" t="s">
        <v>371</v>
      </c>
      <c r="G127" s="6" t="s">
        <v>52</v>
      </c>
      <c r="H127" s="19">
        <v>70000.0</v>
      </c>
      <c r="I127" s="20" t="s">
        <v>33</v>
      </c>
      <c r="J127" s="22">
        <v>425.0</v>
      </c>
      <c r="K127" s="22">
        <v>425.0</v>
      </c>
      <c r="L127" s="22">
        <v>3877.0</v>
      </c>
      <c r="M127" s="23">
        <v>0.56</v>
      </c>
      <c r="N127" s="24">
        <v>6.67</v>
      </c>
      <c r="O127" s="26" t="s">
        <v>29</v>
      </c>
      <c r="P127" s="26" t="s">
        <v>30</v>
      </c>
      <c r="Q127" s="27">
        <f t="shared" si="40"/>
        <v>9.122352941</v>
      </c>
      <c r="R127" s="23">
        <f t="shared" si="41"/>
        <v>0.06</v>
      </c>
      <c r="S127" s="27">
        <f t="shared" si="42"/>
        <v>9.669694118</v>
      </c>
      <c r="T127" s="6" t="s">
        <v>40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6.5" customHeight="1">
      <c r="A128" s="7" t="b">
        <v>0</v>
      </c>
      <c r="B128" s="6" t="s">
        <v>372</v>
      </c>
      <c r="C128" s="6" t="s">
        <v>323</v>
      </c>
      <c r="D128" s="6" t="s">
        <v>373</v>
      </c>
      <c r="E128" s="6" t="s">
        <v>374</v>
      </c>
      <c r="F128" s="17" t="s">
        <v>375</v>
      </c>
      <c r="G128" s="6" t="s">
        <v>52</v>
      </c>
      <c r="H128" s="19">
        <v>49000.0</v>
      </c>
      <c r="I128" s="20" t="s">
        <v>33</v>
      </c>
      <c r="J128" s="22">
        <v>175.0</v>
      </c>
      <c r="K128" s="22">
        <v>290.0</v>
      </c>
      <c r="L128" s="22">
        <v>3936.0</v>
      </c>
      <c r="M128" s="23">
        <v>0.6</v>
      </c>
      <c r="N128" s="24">
        <v>5.77</v>
      </c>
      <c r="O128" s="26" t="s">
        <v>71</v>
      </c>
      <c r="P128" s="26" t="s">
        <v>30</v>
      </c>
      <c r="Q128" s="27">
        <f t="shared" si="40"/>
        <v>22.49142857</v>
      </c>
      <c r="R128" s="23">
        <f t="shared" si="41"/>
        <v>0.1</v>
      </c>
      <c r="S128" s="27">
        <f t="shared" si="42"/>
        <v>24.74057143</v>
      </c>
      <c r="T128" s="6" t="s">
        <v>40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6.5" customHeight="1">
      <c r="A129" s="7" t="b">
        <v>0</v>
      </c>
      <c r="B129" s="6" t="s">
        <v>263</v>
      </c>
      <c r="C129" s="6" t="s">
        <v>323</v>
      </c>
      <c r="D129" s="6" t="s">
        <v>376</v>
      </c>
      <c r="E129" s="6" t="s">
        <v>302</v>
      </c>
      <c r="F129" s="17" t="s">
        <v>377</v>
      </c>
      <c r="G129" s="6" t="s">
        <v>52</v>
      </c>
      <c r="H129" s="19">
        <v>30000.0</v>
      </c>
      <c r="I129" s="20" t="s">
        <v>33</v>
      </c>
      <c r="J129" s="22">
        <v>180.0</v>
      </c>
      <c r="K129" s="22">
        <v>225.0</v>
      </c>
      <c r="L129" s="22">
        <v>3522.0</v>
      </c>
      <c r="M129" s="23">
        <v>0.57</v>
      </c>
      <c r="N129" s="24">
        <v>5.0</v>
      </c>
      <c r="O129" s="26" t="s">
        <v>29</v>
      </c>
      <c r="P129" s="26" t="s">
        <v>30</v>
      </c>
      <c r="Q129" s="27">
        <f t="shared" si="40"/>
        <v>19.56666667</v>
      </c>
      <c r="R129" s="23">
        <f t="shared" si="41"/>
        <v>0.07</v>
      </c>
      <c r="S129" s="27">
        <f t="shared" si="42"/>
        <v>20.93633333</v>
      </c>
      <c r="T129" s="6" t="s">
        <v>40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6.5" customHeight="1">
      <c r="A130" s="7" t="b">
        <v>0</v>
      </c>
      <c r="B130" s="6" t="s">
        <v>329</v>
      </c>
      <c r="C130" s="6" t="s">
        <v>323</v>
      </c>
      <c r="D130" s="6" t="s">
        <v>378</v>
      </c>
      <c r="E130" s="6" t="s">
        <v>331</v>
      </c>
      <c r="F130" s="8" t="s">
        <v>379</v>
      </c>
      <c r="G130" s="6" t="s">
        <v>52</v>
      </c>
      <c r="H130" s="19">
        <v>40000.0</v>
      </c>
      <c r="I130" s="20" t="s">
        <v>33</v>
      </c>
      <c r="J130" s="22">
        <v>375.0</v>
      </c>
      <c r="K130" s="22">
        <v>415.0</v>
      </c>
      <c r="L130" s="22">
        <v>3470.0</v>
      </c>
      <c r="M130" s="23">
        <v>0.55</v>
      </c>
      <c r="N130" s="24">
        <v>6.49</v>
      </c>
      <c r="O130" s="26" t="s">
        <v>29</v>
      </c>
      <c r="P130" s="26" t="s">
        <v>30</v>
      </c>
      <c r="Q130" s="27">
        <f t="shared" si="40"/>
        <v>9.253333333</v>
      </c>
      <c r="R130" s="23">
        <f t="shared" si="41"/>
        <v>0.05</v>
      </c>
      <c r="S130" s="27">
        <f t="shared" si="42"/>
        <v>9.716</v>
      </c>
      <c r="T130" s="6" t="s">
        <v>40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6.5" customHeight="1">
      <c r="A131" s="7" t="b">
        <v>0</v>
      </c>
      <c r="B131" s="6" t="s">
        <v>180</v>
      </c>
      <c r="C131" s="6" t="s">
        <v>323</v>
      </c>
      <c r="D131" s="6" t="s">
        <v>380</v>
      </c>
      <c r="E131" s="6" t="s">
        <v>374</v>
      </c>
      <c r="F131" s="8" t="s">
        <v>381</v>
      </c>
      <c r="G131" s="6" t="s">
        <v>52</v>
      </c>
      <c r="H131" s="19">
        <v>43000.0</v>
      </c>
      <c r="I131" s="10" t="s">
        <v>27</v>
      </c>
      <c r="J131" s="22">
        <v>420.0</v>
      </c>
      <c r="K131" s="22">
        <v>460.0</v>
      </c>
      <c r="L131" s="22">
        <v>5100.0</v>
      </c>
      <c r="M131" s="23">
        <v>0.59</v>
      </c>
      <c r="N131" s="24">
        <v>6.16</v>
      </c>
      <c r="O131" s="26" t="s">
        <v>71</v>
      </c>
      <c r="P131" s="26" t="s">
        <v>30</v>
      </c>
      <c r="Q131" s="27">
        <f t="shared" si="40"/>
        <v>12.14285714</v>
      </c>
      <c r="R131" s="23">
        <f t="shared" si="41"/>
        <v>0.09</v>
      </c>
      <c r="S131" s="27">
        <f t="shared" si="42"/>
        <v>13.23571429</v>
      </c>
      <c r="T131" s="6" t="s">
        <v>40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6.5" customHeight="1">
      <c r="A132" s="7" t="b">
        <v>0</v>
      </c>
      <c r="B132" s="37" t="s">
        <v>372</v>
      </c>
      <c r="C132" s="37" t="s">
        <v>382</v>
      </c>
      <c r="D132" s="37" t="s">
        <v>383</v>
      </c>
      <c r="E132" s="37" t="s">
        <v>126</v>
      </c>
      <c r="F132" s="49" t="s">
        <v>384</v>
      </c>
      <c r="G132" s="37" t="s">
        <v>228</v>
      </c>
      <c r="H132" s="38">
        <v>86000.0</v>
      </c>
      <c r="I132" s="20" t="s">
        <v>33</v>
      </c>
      <c r="J132" s="46">
        <v>850.0</v>
      </c>
      <c r="K132" s="46">
        <v>811.0</v>
      </c>
      <c r="L132" s="46">
        <v>2600.0</v>
      </c>
      <c r="M132" s="45">
        <v>0.51</v>
      </c>
      <c r="N132" s="47">
        <v>5.33</v>
      </c>
      <c r="O132" s="43" t="s">
        <v>29</v>
      </c>
      <c r="P132" s="43" t="s">
        <v>30</v>
      </c>
      <c r="Q132" s="44">
        <f t="shared" si="40"/>
        <v>3.058823529</v>
      </c>
      <c r="R132" s="45">
        <f t="shared" si="41"/>
        <v>0.01</v>
      </c>
      <c r="S132" s="44">
        <f t="shared" si="42"/>
        <v>3.089411765</v>
      </c>
      <c r="T132" s="37" t="s">
        <v>88</v>
      </c>
      <c r="U132" s="37" t="s">
        <v>89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6.5" customHeight="1">
      <c r="A133" s="7" t="b">
        <v>0</v>
      </c>
      <c r="B133" s="5" t="s">
        <v>329</v>
      </c>
      <c r="C133" s="5" t="s">
        <v>382</v>
      </c>
      <c r="D133" s="5" t="s">
        <v>385</v>
      </c>
      <c r="E133" s="5" t="s">
        <v>221</v>
      </c>
      <c r="F133" s="17" t="s">
        <v>386</v>
      </c>
      <c r="G133" s="5" t="s">
        <v>228</v>
      </c>
      <c r="H133" s="9">
        <v>185000.0</v>
      </c>
      <c r="I133" s="34" t="s">
        <v>62</v>
      </c>
      <c r="J133" s="9"/>
      <c r="K133" s="9"/>
      <c r="L133" s="9"/>
      <c r="M133" s="28"/>
      <c r="N133" s="29"/>
      <c r="O133" s="30"/>
      <c r="P133" s="30"/>
      <c r="Q133" s="16"/>
      <c r="R133" s="18"/>
      <c r="S133" s="16"/>
      <c r="T133" s="5" t="s">
        <v>34</v>
      </c>
      <c r="U133" s="21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6.5" customHeight="1">
      <c r="A134" s="7" t="b">
        <v>0</v>
      </c>
      <c r="B134" s="6" t="s">
        <v>334</v>
      </c>
      <c r="C134" s="6" t="s">
        <v>382</v>
      </c>
      <c r="D134" s="6" t="s">
        <v>387</v>
      </c>
      <c r="E134" s="6" t="s">
        <v>221</v>
      </c>
      <c r="F134" s="17" t="s">
        <v>388</v>
      </c>
      <c r="G134" s="6" t="s">
        <v>228</v>
      </c>
      <c r="H134" s="52">
        <v>250000.0</v>
      </c>
      <c r="I134" s="20" t="s">
        <v>33</v>
      </c>
      <c r="J134" s="22">
        <v>96.0</v>
      </c>
      <c r="K134" s="22">
        <v>100.0</v>
      </c>
      <c r="L134" s="22">
        <v>2127.0</v>
      </c>
      <c r="M134" s="23">
        <v>0.54</v>
      </c>
      <c r="N134" s="24">
        <v>1.6</v>
      </c>
      <c r="O134" s="26" t="s">
        <v>29</v>
      </c>
      <c r="P134" s="26" t="s">
        <v>30</v>
      </c>
      <c r="Q134" s="27">
        <f>L134/J134</f>
        <v>22.15625</v>
      </c>
      <c r="R134" s="23">
        <f>0+((ABS(0.5-M134)*1))</f>
        <v>0.04</v>
      </c>
      <c r="S134" s="27">
        <f>Q134*(R134+1)</f>
        <v>23.0425</v>
      </c>
      <c r="T134" s="6" t="s">
        <v>40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6.5" customHeight="1">
      <c r="A135" s="7" t="b">
        <v>0</v>
      </c>
      <c r="B135" s="5" t="s">
        <v>213</v>
      </c>
      <c r="C135" s="5" t="s">
        <v>389</v>
      </c>
      <c r="D135" s="5" t="s">
        <v>390</v>
      </c>
      <c r="E135" s="5" t="s">
        <v>253</v>
      </c>
      <c r="F135" s="25" t="s">
        <v>391</v>
      </c>
      <c r="G135" s="5" t="s">
        <v>26</v>
      </c>
      <c r="H135" s="9">
        <v>250000.0</v>
      </c>
      <c r="I135" s="35" t="s">
        <v>76</v>
      </c>
      <c r="J135" s="9"/>
      <c r="K135" s="9"/>
      <c r="L135" s="9"/>
      <c r="M135" s="28"/>
      <c r="N135" s="29"/>
      <c r="O135" s="30"/>
      <c r="P135" s="30"/>
      <c r="Q135" s="16"/>
      <c r="R135" s="18"/>
      <c r="S135" s="16"/>
      <c r="T135" s="5" t="s">
        <v>34</v>
      </c>
      <c r="U135" s="21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6.5" customHeight="1">
      <c r="A136" s="7" t="b">
        <v>0</v>
      </c>
      <c r="B136" s="6" t="s">
        <v>196</v>
      </c>
      <c r="C136" s="6" t="s">
        <v>392</v>
      </c>
      <c r="D136" s="6" t="s">
        <v>393</v>
      </c>
      <c r="E136" s="6" t="s">
        <v>394</v>
      </c>
      <c r="F136" s="32" t="s">
        <v>395</v>
      </c>
      <c r="G136" s="6" t="s">
        <v>52</v>
      </c>
      <c r="H136" s="19">
        <v>250000.0</v>
      </c>
      <c r="I136" s="34" t="s">
        <v>62</v>
      </c>
      <c r="J136" s="22">
        <v>1005.0</v>
      </c>
      <c r="K136" s="22">
        <v>912.0</v>
      </c>
      <c r="L136" s="22">
        <v>3500.0</v>
      </c>
      <c r="M136" s="23">
        <v>0.51</v>
      </c>
      <c r="N136" s="24">
        <v>6.96</v>
      </c>
      <c r="O136" s="26" t="s">
        <v>29</v>
      </c>
      <c r="P136" s="26" t="s">
        <v>30</v>
      </c>
      <c r="Q136" s="27">
        <f t="shared" ref="Q136:Q140" si="43">L136/J136</f>
        <v>3.482587065</v>
      </c>
      <c r="R136" s="23">
        <f t="shared" ref="R136:R140" si="44">0+((ABS(0.5-M136)*1))</f>
        <v>0.01</v>
      </c>
      <c r="S136" s="27">
        <f t="shared" ref="S136:S140" si="45">Q136*(R136+1)</f>
        <v>3.517412935</v>
      </c>
      <c r="T136" s="6" t="s">
        <v>40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6.5" customHeight="1">
      <c r="A137" s="7" t="b">
        <v>0</v>
      </c>
      <c r="B137" s="6" t="s">
        <v>123</v>
      </c>
      <c r="C137" s="6" t="s">
        <v>392</v>
      </c>
      <c r="D137" s="6" t="s">
        <v>396</v>
      </c>
      <c r="E137" s="6" t="s">
        <v>114</v>
      </c>
      <c r="F137" s="25" t="s">
        <v>397</v>
      </c>
      <c r="G137" s="6" t="s">
        <v>52</v>
      </c>
      <c r="H137" s="19">
        <v>275000.0</v>
      </c>
      <c r="I137" s="34" t="s">
        <v>62</v>
      </c>
      <c r="J137" s="22">
        <v>850.0</v>
      </c>
      <c r="K137" s="22">
        <v>1200.0</v>
      </c>
      <c r="L137" s="22">
        <v>7740.0</v>
      </c>
      <c r="M137" s="23">
        <v>0.53</v>
      </c>
      <c r="N137" s="24">
        <v>6.65</v>
      </c>
      <c r="O137" s="26" t="s">
        <v>71</v>
      </c>
      <c r="P137" s="26" t="s">
        <v>30</v>
      </c>
      <c r="Q137" s="27">
        <f t="shared" si="43"/>
        <v>9.105882353</v>
      </c>
      <c r="R137" s="23">
        <f t="shared" si="44"/>
        <v>0.03</v>
      </c>
      <c r="S137" s="27">
        <f t="shared" si="45"/>
        <v>9.379058824</v>
      </c>
      <c r="T137" s="6" t="s">
        <v>40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6.5" customHeight="1">
      <c r="A138" s="7" t="b">
        <v>0</v>
      </c>
      <c r="B138" s="6" t="s">
        <v>130</v>
      </c>
      <c r="C138" s="6" t="s">
        <v>392</v>
      </c>
      <c r="D138" s="6" t="s">
        <v>398</v>
      </c>
      <c r="E138" s="6" t="s">
        <v>114</v>
      </c>
      <c r="F138" s="36" t="s">
        <v>399</v>
      </c>
      <c r="G138" s="6" t="s">
        <v>52</v>
      </c>
      <c r="H138" s="19">
        <v>150000.0</v>
      </c>
      <c r="I138" s="34" t="s">
        <v>62</v>
      </c>
      <c r="J138" s="22">
        <v>707.0</v>
      </c>
      <c r="K138" s="22">
        <v>650.0</v>
      </c>
      <c r="L138" s="22">
        <v>4650.0</v>
      </c>
      <c r="M138" s="23">
        <v>0.5</v>
      </c>
      <c r="N138" s="24">
        <v>6.17</v>
      </c>
      <c r="O138" s="26" t="s">
        <v>71</v>
      </c>
      <c r="P138" s="26" t="s">
        <v>30</v>
      </c>
      <c r="Q138" s="27">
        <f t="shared" si="43"/>
        <v>6.57708628</v>
      </c>
      <c r="R138" s="23">
        <f t="shared" si="44"/>
        <v>0</v>
      </c>
      <c r="S138" s="27">
        <f t="shared" si="45"/>
        <v>6.57708628</v>
      </c>
      <c r="T138" s="6" t="s">
        <v>40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6.5" customHeight="1">
      <c r="A139" s="7" t="b">
        <v>0</v>
      </c>
      <c r="B139" s="6" t="s">
        <v>123</v>
      </c>
      <c r="C139" s="6" t="s">
        <v>392</v>
      </c>
      <c r="D139" s="6" t="s">
        <v>400</v>
      </c>
      <c r="E139" s="6" t="s">
        <v>394</v>
      </c>
      <c r="F139" s="32" t="s">
        <v>401</v>
      </c>
      <c r="G139" s="6" t="s">
        <v>52</v>
      </c>
      <c r="H139" s="19">
        <v>250000.0</v>
      </c>
      <c r="I139" s="20" t="s">
        <v>33</v>
      </c>
      <c r="J139" s="22">
        <v>900.0</v>
      </c>
      <c r="K139" s="22">
        <v>626.0</v>
      </c>
      <c r="L139" s="22">
        <v>3215.0</v>
      </c>
      <c r="M139" s="23">
        <v>0.51</v>
      </c>
      <c r="N139" s="24">
        <v>6.88</v>
      </c>
      <c r="O139" s="26" t="s">
        <v>29</v>
      </c>
      <c r="P139" s="26" t="s">
        <v>30</v>
      </c>
      <c r="Q139" s="27">
        <f t="shared" si="43"/>
        <v>3.572222222</v>
      </c>
      <c r="R139" s="23">
        <f t="shared" si="44"/>
        <v>0.01</v>
      </c>
      <c r="S139" s="27">
        <f t="shared" si="45"/>
        <v>3.607944444</v>
      </c>
      <c r="T139" s="6" t="s">
        <v>40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6.5" customHeight="1">
      <c r="A140" s="7" t="b">
        <v>0</v>
      </c>
      <c r="B140" s="6" t="s">
        <v>402</v>
      </c>
      <c r="C140" s="6" t="s">
        <v>403</v>
      </c>
      <c r="D140" s="6" t="s">
        <v>404</v>
      </c>
      <c r="E140" s="6" t="s">
        <v>148</v>
      </c>
      <c r="F140" s="17" t="s">
        <v>405</v>
      </c>
      <c r="G140" s="6" t="s">
        <v>52</v>
      </c>
      <c r="H140" s="19">
        <v>72000.0</v>
      </c>
      <c r="I140" s="35" t="s">
        <v>76</v>
      </c>
      <c r="J140" s="22">
        <v>130.0</v>
      </c>
      <c r="K140" s="22">
        <v>160.0</v>
      </c>
      <c r="L140" s="22">
        <v>2844.0</v>
      </c>
      <c r="M140" s="23">
        <v>0.38</v>
      </c>
      <c r="N140" s="24">
        <v>2.85</v>
      </c>
      <c r="O140" s="26" t="s">
        <v>29</v>
      </c>
      <c r="P140" s="26" t="s">
        <v>29</v>
      </c>
      <c r="Q140" s="27">
        <f t="shared" si="43"/>
        <v>21.87692308</v>
      </c>
      <c r="R140" s="23">
        <f t="shared" si="44"/>
        <v>0.12</v>
      </c>
      <c r="S140" s="27">
        <f t="shared" si="45"/>
        <v>24.50215385</v>
      </c>
      <c r="T140" s="6" t="s">
        <v>40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6.5" customHeight="1">
      <c r="A141" s="7" t="b">
        <v>0</v>
      </c>
      <c r="B141" s="5" t="s">
        <v>334</v>
      </c>
      <c r="C141" s="5" t="s">
        <v>406</v>
      </c>
      <c r="D141" s="5" t="s">
        <v>407</v>
      </c>
      <c r="E141" s="5" t="s">
        <v>331</v>
      </c>
      <c r="F141" s="8" t="s">
        <v>408</v>
      </c>
      <c r="G141" s="5" t="s">
        <v>52</v>
      </c>
      <c r="H141" s="9"/>
      <c r="I141" s="48"/>
      <c r="J141" s="9"/>
      <c r="K141" s="9"/>
      <c r="L141" s="9"/>
      <c r="M141" s="28"/>
      <c r="N141" s="29"/>
      <c r="O141" s="30"/>
      <c r="P141" s="30"/>
      <c r="Q141" s="16"/>
      <c r="R141" s="18"/>
      <c r="S141" s="16"/>
      <c r="T141" s="5" t="s">
        <v>129</v>
      </c>
      <c r="U141" s="21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6.5" customHeight="1">
      <c r="A142" s="7" t="b">
        <v>0</v>
      </c>
      <c r="B142" s="6" t="s">
        <v>196</v>
      </c>
      <c r="C142" s="6" t="s">
        <v>406</v>
      </c>
      <c r="D142" s="6" t="s">
        <v>409</v>
      </c>
      <c r="E142" s="6" t="s">
        <v>306</v>
      </c>
      <c r="F142" s="36" t="s">
        <v>273</v>
      </c>
      <c r="G142" s="6" t="s">
        <v>52</v>
      </c>
      <c r="H142" s="19">
        <v>90000.0</v>
      </c>
      <c r="I142" s="10" t="s">
        <v>27</v>
      </c>
      <c r="J142" s="22">
        <v>840.0</v>
      </c>
      <c r="K142" s="22">
        <v>770.0</v>
      </c>
      <c r="L142" s="22">
        <v>4248.0</v>
      </c>
      <c r="M142" s="23">
        <v>0.58</v>
      </c>
      <c r="N142" s="24">
        <v>6.17</v>
      </c>
      <c r="O142" s="26" t="s">
        <v>29</v>
      </c>
      <c r="P142" s="26" t="s">
        <v>30</v>
      </c>
      <c r="Q142" s="27">
        <f t="shared" ref="Q142:Q145" si="46">L142/J142</f>
        <v>5.057142857</v>
      </c>
      <c r="R142" s="23">
        <f t="shared" ref="R142:R145" si="47">0+((ABS(0.5-M142)*1))</f>
        <v>0.08</v>
      </c>
      <c r="S142" s="27">
        <f t="shared" ref="S142:S145" si="48">Q142*(R142+1)</f>
        <v>5.461714286</v>
      </c>
      <c r="T142" s="6" t="s">
        <v>137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6.5" customHeight="1">
      <c r="A143" s="7" t="b">
        <v>0</v>
      </c>
      <c r="B143" s="6" t="s">
        <v>116</v>
      </c>
      <c r="C143" s="6" t="s">
        <v>406</v>
      </c>
      <c r="D143" s="6" t="s">
        <v>410</v>
      </c>
      <c r="E143" s="6" t="s">
        <v>306</v>
      </c>
      <c r="F143" s="36" t="s">
        <v>411</v>
      </c>
      <c r="G143" s="6" t="s">
        <v>52</v>
      </c>
      <c r="H143" s="19">
        <v>53000.0</v>
      </c>
      <c r="I143" s="10" t="s">
        <v>27</v>
      </c>
      <c r="J143" s="22">
        <v>707.0</v>
      </c>
      <c r="K143" s="22">
        <v>650.0</v>
      </c>
      <c r="L143" s="22">
        <v>4438.0</v>
      </c>
      <c r="M143" s="23">
        <v>0.57</v>
      </c>
      <c r="N143" s="24">
        <v>6.17</v>
      </c>
      <c r="O143" s="26" t="s">
        <v>29</v>
      </c>
      <c r="P143" s="26" t="s">
        <v>30</v>
      </c>
      <c r="Q143" s="27">
        <f t="shared" si="46"/>
        <v>6.277227723</v>
      </c>
      <c r="R143" s="23">
        <f t="shared" si="47"/>
        <v>0.07</v>
      </c>
      <c r="S143" s="27">
        <f t="shared" si="48"/>
        <v>6.716633663</v>
      </c>
      <c r="T143" s="6" t="s">
        <v>40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6.5" customHeight="1">
      <c r="A144" s="7" t="b">
        <v>0</v>
      </c>
      <c r="B144" s="6" t="s">
        <v>58</v>
      </c>
      <c r="C144" s="6" t="s">
        <v>406</v>
      </c>
      <c r="D144" s="6" t="s">
        <v>412</v>
      </c>
      <c r="E144" s="6" t="s">
        <v>306</v>
      </c>
      <c r="F144" s="36" t="s">
        <v>333</v>
      </c>
      <c r="G144" s="6" t="s">
        <v>52</v>
      </c>
      <c r="H144" s="19">
        <v>87000.0</v>
      </c>
      <c r="I144" s="10" t="s">
        <v>27</v>
      </c>
      <c r="J144" s="22">
        <v>807.0</v>
      </c>
      <c r="K144" s="22">
        <v>707.0</v>
      </c>
      <c r="L144" s="22">
        <v>4441.0</v>
      </c>
      <c r="M144" s="23">
        <v>0.57</v>
      </c>
      <c r="N144" s="24">
        <v>6.17</v>
      </c>
      <c r="O144" s="26" t="s">
        <v>29</v>
      </c>
      <c r="P144" s="26" t="s">
        <v>30</v>
      </c>
      <c r="Q144" s="27">
        <f t="shared" si="46"/>
        <v>5.503097893</v>
      </c>
      <c r="R144" s="23">
        <f t="shared" si="47"/>
        <v>0.07</v>
      </c>
      <c r="S144" s="27">
        <f t="shared" si="48"/>
        <v>5.888314746</v>
      </c>
      <c r="T144" s="6" t="s">
        <v>40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6.5" customHeight="1">
      <c r="A145" s="7" t="b">
        <v>0</v>
      </c>
      <c r="B145" s="6" t="s">
        <v>329</v>
      </c>
      <c r="C145" s="6" t="s">
        <v>406</v>
      </c>
      <c r="D145" s="6" t="s">
        <v>413</v>
      </c>
      <c r="E145" s="6" t="s">
        <v>331</v>
      </c>
      <c r="F145" s="8" t="s">
        <v>414</v>
      </c>
      <c r="G145" s="6" t="s">
        <v>52</v>
      </c>
      <c r="H145" s="19">
        <v>541000.0</v>
      </c>
      <c r="I145" s="34" t="s">
        <v>62</v>
      </c>
      <c r="J145" s="22">
        <v>425.0</v>
      </c>
      <c r="K145" s="22">
        <v>490.0</v>
      </c>
      <c r="L145" s="22">
        <v>3875.0</v>
      </c>
      <c r="M145" s="23">
        <v>0.54</v>
      </c>
      <c r="N145" s="24">
        <v>6.97</v>
      </c>
      <c r="O145" s="26" t="s">
        <v>29</v>
      </c>
      <c r="P145" s="26" t="s">
        <v>30</v>
      </c>
      <c r="Q145" s="27">
        <f t="shared" si="46"/>
        <v>9.117647059</v>
      </c>
      <c r="R145" s="23">
        <f t="shared" si="47"/>
        <v>0.04</v>
      </c>
      <c r="S145" s="27">
        <f t="shared" si="48"/>
        <v>9.482352941</v>
      </c>
      <c r="T145" s="6" t="s">
        <v>137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6.5" customHeight="1">
      <c r="A146" s="7" t="b">
        <v>0</v>
      </c>
      <c r="B146" s="5" t="s">
        <v>329</v>
      </c>
      <c r="C146" s="5" t="s">
        <v>406</v>
      </c>
      <c r="D146" s="5" t="s">
        <v>415</v>
      </c>
      <c r="E146" s="5" t="s">
        <v>331</v>
      </c>
      <c r="F146" s="8" t="s">
        <v>416</v>
      </c>
      <c r="G146" s="5" t="s">
        <v>52</v>
      </c>
      <c r="H146" s="9">
        <v>224000.0</v>
      </c>
      <c r="I146" s="35" t="s">
        <v>255</v>
      </c>
      <c r="J146" s="9"/>
      <c r="K146" s="9"/>
      <c r="L146" s="9"/>
      <c r="M146" s="28"/>
      <c r="N146" s="29"/>
      <c r="O146" s="30"/>
      <c r="P146" s="30"/>
      <c r="Q146" s="16"/>
      <c r="R146" s="18"/>
      <c r="S146" s="16"/>
      <c r="T146" s="5" t="s">
        <v>256</v>
      </c>
      <c r="U146" s="21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6.5" customHeight="1">
      <c r="A147" s="7" t="b">
        <v>0</v>
      </c>
      <c r="B147" s="6" t="s">
        <v>116</v>
      </c>
      <c r="C147" s="6" t="s">
        <v>406</v>
      </c>
      <c r="D147" s="6" t="s">
        <v>417</v>
      </c>
      <c r="E147" s="6" t="s">
        <v>306</v>
      </c>
      <c r="F147" s="36" t="s">
        <v>197</v>
      </c>
      <c r="G147" s="6" t="s">
        <v>52</v>
      </c>
      <c r="H147" s="19">
        <v>44000.0</v>
      </c>
      <c r="I147" s="10" t="s">
        <v>27</v>
      </c>
      <c r="J147" s="22">
        <v>707.0</v>
      </c>
      <c r="K147" s="22">
        <v>650.0</v>
      </c>
      <c r="L147" s="22">
        <v>4575.0</v>
      </c>
      <c r="M147" s="23">
        <v>0.54</v>
      </c>
      <c r="N147" s="24">
        <v>6.17</v>
      </c>
      <c r="O147" s="26" t="s">
        <v>29</v>
      </c>
      <c r="P147" s="26" t="s">
        <v>30</v>
      </c>
      <c r="Q147" s="27">
        <f t="shared" ref="Q147:Q148" si="49">L147/J147</f>
        <v>6.471004243</v>
      </c>
      <c r="R147" s="23">
        <f t="shared" ref="R147:R148" si="50">0+((ABS(0.5-M147)*1))</f>
        <v>0.04</v>
      </c>
      <c r="S147" s="27">
        <f t="shared" ref="S147:S148" si="51">Q147*(R147+1)</f>
        <v>6.729844413</v>
      </c>
      <c r="T147" s="6" t="s">
        <v>40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6.5" customHeight="1">
      <c r="A148" s="7" t="b">
        <v>0</v>
      </c>
      <c r="B148" s="6" t="s">
        <v>334</v>
      </c>
      <c r="C148" s="6" t="s">
        <v>406</v>
      </c>
      <c r="D148" s="6" t="s">
        <v>418</v>
      </c>
      <c r="E148" s="6" t="s">
        <v>331</v>
      </c>
      <c r="F148" s="8" t="s">
        <v>419</v>
      </c>
      <c r="G148" s="6" t="s">
        <v>52</v>
      </c>
      <c r="H148" s="19">
        <v>175000.0</v>
      </c>
      <c r="I148" s="10" t="s">
        <v>27</v>
      </c>
      <c r="J148" s="22">
        <v>425.0</v>
      </c>
      <c r="K148" s="22">
        <v>490.0</v>
      </c>
      <c r="L148" s="22">
        <v>3420.0</v>
      </c>
      <c r="M148" s="23">
        <v>0.58</v>
      </c>
      <c r="N148" s="24">
        <v>6.97</v>
      </c>
      <c r="O148" s="26" t="s">
        <v>29</v>
      </c>
      <c r="P148" s="26" t="s">
        <v>30</v>
      </c>
      <c r="Q148" s="27">
        <f t="shared" si="49"/>
        <v>8.047058824</v>
      </c>
      <c r="R148" s="23">
        <f t="shared" si="50"/>
        <v>0.08</v>
      </c>
      <c r="S148" s="27">
        <f t="shared" si="51"/>
        <v>8.690823529</v>
      </c>
      <c r="T148" s="6" t="s">
        <v>40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6.5" customHeight="1">
      <c r="A149" s="7" t="b">
        <v>0</v>
      </c>
      <c r="B149" s="5" t="s">
        <v>36</v>
      </c>
      <c r="C149" s="5" t="s">
        <v>406</v>
      </c>
      <c r="D149" s="5" t="s">
        <v>420</v>
      </c>
      <c r="E149" s="5" t="s">
        <v>331</v>
      </c>
      <c r="F149" s="25" t="s">
        <v>39</v>
      </c>
      <c r="G149" s="5" t="s">
        <v>52</v>
      </c>
      <c r="H149" s="9">
        <v>300000.0</v>
      </c>
      <c r="I149" s="35" t="s">
        <v>76</v>
      </c>
      <c r="J149" s="9"/>
      <c r="K149" s="9"/>
      <c r="L149" s="9"/>
      <c r="M149" s="28"/>
      <c r="N149" s="29"/>
      <c r="O149" s="30"/>
      <c r="P149" s="30"/>
      <c r="Q149" s="16"/>
      <c r="R149" s="18"/>
      <c r="S149" s="16"/>
      <c r="T149" s="5" t="s">
        <v>129</v>
      </c>
      <c r="U149" s="21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6.5" customHeight="1">
      <c r="A150" s="7" t="b">
        <v>0</v>
      </c>
      <c r="B150" s="5" t="s">
        <v>90</v>
      </c>
      <c r="C150" s="5" t="s">
        <v>406</v>
      </c>
      <c r="D150" s="5" t="s">
        <v>421</v>
      </c>
      <c r="E150" s="5" t="s">
        <v>153</v>
      </c>
      <c r="F150" s="36" t="s">
        <v>422</v>
      </c>
      <c r="G150" s="5" t="s">
        <v>52</v>
      </c>
      <c r="H150" s="9"/>
      <c r="I150" s="48"/>
      <c r="J150" s="9"/>
      <c r="K150" s="9"/>
      <c r="L150" s="9"/>
      <c r="M150" s="28"/>
      <c r="N150" s="29"/>
      <c r="O150" s="30"/>
      <c r="P150" s="30"/>
      <c r="Q150" s="16"/>
      <c r="R150" s="18"/>
      <c r="S150" s="16"/>
      <c r="T150" s="5" t="s">
        <v>103</v>
      </c>
      <c r="U150" s="21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6.5" customHeight="1">
      <c r="A151" s="7" t="b">
        <v>0</v>
      </c>
      <c r="B151" s="5" t="s">
        <v>191</v>
      </c>
      <c r="C151" s="5" t="s">
        <v>406</v>
      </c>
      <c r="D151" s="5" t="s">
        <v>423</v>
      </c>
      <c r="E151" s="5" t="s">
        <v>306</v>
      </c>
      <c r="F151" s="25" t="s">
        <v>424</v>
      </c>
      <c r="G151" s="5" t="s">
        <v>52</v>
      </c>
      <c r="H151" s="9">
        <v>250000.0</v>
      </c>
      <c r="I151" s="20" t="s">
        <v>33</v>
      </c>
      <c r="J151" s="9"/>
      <c r="K151" s="9"/>
      <c r="L151" s="9"/>
      <c r="M151" s="28"/>
      <c r="N151" s="29"/>
      <c r="O151" s="30"/>
      <c r="P151" s="30"/>
      <c r="Q151" s="16"/>
      <c r="R151" s="18"/>
      <c r="S151" s="16"/>
      <c r="T151" s="5" t="s">
        <v>34</v>
      </c>
      <c r="U151" s="21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6.5" customHeight="1">
      <c r="A152" s="7" t="b">
        <v>0</v>
      </c>
      <c r="B152" s="5" t="s">
        <v>41</v>
      </c>
      <c r="C152" s="5" t="s">
        <v>406</v>
      </c>
      <c r="D152" s="5" t="s">
        <v>425</v>
      </c>
      <c r="E152" s="5" t="s">
        <v>231</v>
      </c>
      <c r="F152" s="32" t="s">
        <v>426</v>
      </c>
      <c r="G152" s="5" t="s">
        <v>52</v>
      </c>
      <c r="H152" s="9">
        <v>290000.0</v>
      </c>
      <c r="I152" s="34" t="s">
        <v>62</v>
      </c>
      <c r="J152" s="9"/>
      <c r="K152" s="9"/>
      <c r="L152" s="9"/>
      <c r="M152" s="28"/>
      <c r="N152" s="29"/>
      <c r="O152" s="30"/>
      <c r="P152" s="30"/>
      <c r="Q152" s="16"/>
      <c r="R152" s="18"/>
      <c r="S152" s="16"/>
      <c r="T152" s="5" t="s">
        <v>129</v>
      </c>
      <c r="U152" s="21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6.5" customHeight="1">
      <c r="A153" s="7" t="b">
        <v>0</v>
      </c>
      <c r="B153" s="6" t="s">
        <v>427</v>
      </c>
      <c r="C153" s="6" t="s">
        <v>406</v>
      </c>
      <c r="D153" s="6" t="s">
        <v>428</v>
      </c>
      <c r="E153" s="6" t="s">
        <v>302</v>
      </c>
      <c r="F153" s="25" t="s">
        <v>202</v>
      </c>
      <c r="G153" s="6" t="s">
        <v>52</v>
      </c>
      <c r="H153" s="19">
        <v>68000.0</v>
      </c>
      <c r="I153" s="35" t="s">
        <v>76</v>
      </c>
      <c r="J153" s="22">
        <v>460.0</v>
      </c>
      <c r="K153" s="22">
        <v>500.0</v>
      </c>
      <c r="L153" s="22">
        <v>3450.0</v>
      </c>
      <c r="M153" s="23">
        <v>0.48</v>
      </c>
      <c r="N153" s="24">
        <v>7.99</v>
      </c>
      <c r="O153" s="26" t="s">
        <v>29</v>
      </c>
      <c r="P153" s="26" t="s">
        <v>30</v>
      </c>
      <c r="Q153" s="27">
        <f t="shared" ref="Q153:Q155" si="52">L153/J153</f>
        <v>7.5</v>
      </c>
      <c r="R153" s="23">
        <f t="shared" ref="R153:R155" si="53">0+((ABS(0.5-M153)*1))</f>
        <v>0.02</v>
      </c>
      <c r="S153" s="27">
        <f t="shared" ref="S153:S155" si="54">Q153*(R153+1)</f>
        <v>7.65</v>
      </c>
      <c r="T153" s="6" t="s">
        <v>72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6.5" customHeight="1">
      <c r="A154" s="7" t="b">
        <v>0</v>
      </c>
      <c r="B154" s="37" t="s">
        <v>427</v>
      </c>
      <c r="C154" s="37" t="s">
        <v>406</v>
      </c>
      <c r="D154" s="37" t="s">
        <v>429</v>
      </c>
      <c r="E154" s="37" t="s">
        <v>114</v>
      </c>
      <c r="F154" s="36" t="s">
        <v>262</v>
      </c>
      <c r="G154" s="37" t="s">
        <v>52</v>
      </c>
      <c r="H154" s="38">
        <v>500000.0</v>
      </c>
      <c r="I154" s="53" t="s">
        <v>430</v>
      </c>
      <c r="J154" s="39">
        <v>516.0</v>
      </c>
      <c r="K154" s="39">
        <v>561.0</v>
      </c>
      <c r="L154" s="39">
        <v>3060.0</v>
      </c>
      <c r="M154" s="40">
        <v>0.48</v>
      </c>
      <c r="N154" s="41">
        <v>7.99</v>
      </c>
      <c r="O154" s="42" t="s">
        <v>29</v>
      </c>
      <c r="P154" s="43" t="s">
        <v>30</v>
      </c>
      <c r="Q154" s="44">
        <f t="shared" si="52"/>
        <v>5.930232558</v>
      </c>
      <c r="R154" s="45">
        <f t="shared" si="53"/>
        <v>0.02</v>
      </c>
      <c r="S154" s="44">
        <f t="shared" si="54"/>
        <v>6.048837209</v>
      </c>
      <c r="T154" s="37" t="s">
        <v>88</v>
      </c>
      <c r="U154" s="37" t="s">
        <v>431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6.5" customHeight="1">
      <c r="A155" s="7" t="b">
        <v>0</v>
      </c>
      <c r="B155" s="6" t="s">
        <v>270</v>
      </c>
      <c r="C155" s="6" t="s">
        <v>406</v>
      </c>
      <c r="D155" s="6" t="s">
        <v>432</v>
      </c>
      <c r="E155" s="6" t="s">
        <v>231</v>
      </c>
      <c r="F155" s="32" t="s">
        <v>433</v>
      </c>
      <c r="G155" s="6" t="s">
        <v>52</v>
      </c>
      <c r="H155" s="19">
        <v>115000.0</v>
      </c>
      <c r="I155" s="10" t="s">
        <v>27</v>
      </c>
      <c r="J155" s="22">
        <v>600.0</v>
      </c>
      <c r="K155" s="22">
        <v>560.0</v>
      </c>
      <c r="L155" s="22">
        <v>3408.0</v>
      </c>
      <c r="M155" s="23">
        <v>0.49</v>
      </c>
      <c r="N155" s="24">
        <v>8.38</v>
      </c>
      <c r="O155" s="26" t="s">
        <v>29</v>
      </c>
      <c r="P155" s="26" t="s">
        <v>30</v>
      </c>
      <c r="Q155" s="27">
        <f t="shared" si="52"/>
        <v>5.68</v>
      </c>
      <c r="R155" s="23">
        <f t="shared" si="53"/>
        <v>0.01</v>
      </c>
      <c r="S155" s="27">
        <f t="shared" si="54"/>
        <v>5.7368</v>
      </c>
      <c r="T155" s="6" t="s">
        <v>40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6.5" customHeight="1">
      <c r="A156" s="7" t="b">
        <v>0</v>
      </c>
      <c r="B156" s="5" t="s">
        <v>196</v>
      </c>
      <c r="C156" s="5" t="s">
        <v>434</v>
      </c>
      <c r="D156" s="5" t="s">
        <v>435</v>
      </c>
      <c r="E156" s="5" t="s">
        <v>231</v>
      </c>
      <c r="F156" s="50" t="s">
        <v>436</v>
      </c>
      <c r="G156" s="5" t="s">
        <v>52</v>
      </c>
      <c r="H156" s="9"/>
      <c r="I156" s="19"/>
      <c r="J156" s="9"/>
      <c r="K156" s="9"/>
      <c r="L156" s="9"/>
      <c r="M156" s="28"/>
      <c r="N156" s="29"/>
      <c r="O156" s="30"/>
      <c r="P156" s="30"/>
      <c r="Q156" s="16"/>
      <c r="R156" s="18"/>
      <c r="S156" s="16"/>
      <c r="T156" s="5" t="s">
        <v>34</v>
      </c>
      <c r="U156" s="21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6.5" customHeight="1">
      <c r="A157" s="7" t="b">
        <v>0</v>
      </c>
      <c r="B157" s="6" t="s">
        <v>352</v>
      </c>
      <c r="C157" s="6" t="s">
        <v>437</v>
      </c>
      <c r="D157" s="6" t="s">
        <v>438</v>
      </c>
      <c r="E157" s="6" t="s">
        <v>74</v>
      </c>
      <c r="F157" s="36" t="s">
        <v>289</v>
      </c>
      <c r="G157" s="6" t="s">
        <v>26</v>
      </c>
      <c r="H157" s="19">
        <v>7.0E7</v>
      </c>
      <c r="I157" s="35" t="s">
        <v>76</v>
      </c>
      <c r="J157" s="22">
        <v>450.0</v>
      </c>
      <c r="K157" s="22">
        <v>385.0</v>
      </c>
      <c r="L157" s="22">
        <v>2271.0</v>
      </c>
      <c r="M157" s="23">
        <v>0.4</v>
      </c>
      <c r="N157" s="24">
        <v>3.97</v>
      </c>
      <c r="O157" s="26" t="s">
        <v>29</v>
      </c>
      <c r="P157" s="26" t="s">
        <v>77</v>
      </c>
      <c r="Q157" s="27">
        <f t="shared" ref="Q157:Q160" si="55">L157/J157</f>
        <v>5.046666667</v>
      </c>
      <c r="R157" s="23">
        <f t="shared" ref="R157:R160" si="56">0+((ABS(0.5-M157)*1))</f>
        <v>0.1</v>
      </c>
      <c r="S157" s="27">
        <f t="shared" ref="S157:S160" si="57">Q157*(R157+1)</f>
        <v>5.551333333</v>
      </c>
      <c r="T157" s="6" t="s">
        <v>40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6.5" customHeight="1">
      <c r="A158" s="7" t="b">
        <v>0</v>
      </c>
      <c r="B158" s="6" t="s">
        <v>439</v>
      </c>
      <c r="C158" s="6" t="s">
        <v>437</v>
      </c>
      <c r="D158" s="6" t="s">
        <v>440</v>
      </c>
      <c r="E158" s="6" t="s">
        <v>99</v>
      </c>
      <c r="F158" s="8" t="s">
        <v>441</v>
      </c>
      <c r="G158" s="6" t="s">
        <v>26</v>
      </c>
      <c r="H158" s="19">
        <v>1400000.0</v>
      </c>
      <c r="I158" s="35" t="s">
        <v>76</v>
      </c>
      <c r="J158" s="22">
        <v>254.0</v>
      </c>
      <c r="K158" s="22">
        <v>215.0</v>
      </c>
      <c r="L158" s="22">
        <v>2249.0</v>
      </c>
      <c r="M158" s="23">
        <v>0.52</v>
      </c>
      <c r="N158" s="24">
        <v>2.95</v>
      </c>
      <c r="O158" s="26" t="s">
        <v>29</v>
      </c>
      <c r="P158" s="26" t="s">
        <v>30</v>
      </c>
      <c r="Q158" s="27">
        <f t="shared" si="55"/>
        <v>8.854330709</v>
      </c>
      <c r="R158" s="23">
        <f t="shared" si="56"/>
        <v>0.02</v>
      </c>
      <c r="S158" s="27">
        <f t="shared" si="57"/>
        <v>9.031417323</v>
      </c>
      <c r="T158" s="6" t="s">
        <v>122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6.5" customHeight="1">
      <c r="A159" s="7" t="b">
        <v>0</v>
      </c>
      <c r="B159" s="6" t="s">
        <v>439</v>
      </c>
      <c r="C159" s="6" t="s">
        <v>437</v>
      </c>
      <c r="D159" s="6" t="s">
        <v>442</v>
      </c>
      <c r="E159" s="6" t="s">
        <v>74</v>
      </c>
      <c r="F159" s="8" t="s">
        <v>443</v>
      </c>
      <c r="G159" s="6" t="s">
        <v>26</v>
      </c>
      <c r="H159" s="19">
        <v>4.8E7</v>
      </c>
      <c r="I159" s="35" t="s">
        <v>76</v>
      </c>
      <c r="J159" s="22">
        <v>300.0</v>
      </c>
      <c r="K159" s="22">
        <v>216.0</v>
      </c>
      <c r="L159" s="22">
        <v>2299.0</v>
      </c>
      <c r="M159" s="23">
        <v>0.52</v>
      </c>
      <c r="N159" s="24">
        <v>2.95</v>
      </c>
      <c r="O159" s="26" t="s">
        <v>29</v>
      </c>
      <c r="P159" s="26" t="s">
        <v>30</v>
      </c>
      <c r="Q159" s="27">
        <f t="shared" si="55"/>
        <v>7.663333333</v>
      </c>
      <c r="R159" s="23">
        <f t="shared" si="56"/>
        <v>0.02</v>
      </c>
      <c r="S159" s="27">
        <f t="shared" si="57"/>
        <v>7.8166</v>
      </c>
      <c r="T159" s="6" t="s">
        <v>40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6.5" customHeight="1">
      <c r="A160" s="7" t="b">
        <v>0</v>
      </c>
      <c r="B160" s="37" t="s">
        <v>352</v>
      </c>
      <c r="C160" s="37" t="s">
        <v>437</v>
      </c>
      <c r="D160" s="37" t="s">
        <v>444</v>
      </c>
      <c r="E160" s="37" t="s">
        <v>99</v>
      </c>
      <c r="F160" s="25" t="s">
        <v>296</v>
      </c>
      <c r="G160" s="37" t="s">
        <v>26</v>
      </c>
      <c r="H160" s="38">
        <v>1000000.0</v>
      </c>
      <c r="I160" s="34" t="s">
        <v>62</v>
      </c>
      <c r="J160" s="46">
        <v>330.0</v>
      </c>
      <c r="K160" s="46">
        <v>240.0</v>
      </c>
      <c r="L160" s="46">
        <v>2624.0</v>
      </c>
      <c r="M160" s="45">
        <v>0.5</v>
      </c>
      <c r="N160" s="47">
        <v>3.29</v>
      </c>
      <c r="O160" s="43" t="s">
        <v>29</v>
      </c>
      <c r="P160" s="43" t="s">
        <v>30</v>
      </c>
      <c r="Q160" s="44">
        <f t="shared" si="55"/>
        <v>7.951515152</v>
      </c>
      <c r="R160" s="45">
        <f t="shared" si="56"/>
        <v>0</v>
      </c>
      <c r="S160" s="44">
        <f t="shared" si="57"/>
        <v>7.951515152</v>
      </c>
      <c r="T160" s="37" t="s">
        <v>88</v>
      </c>
      <c r="U160" s="37" t="s">
        <v>94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6.5" customHeight="1">
      <c r="A161" s="7" t="b">
        <v>0</v>
      </c>
      <c r="B161" s="5" t="s">
        <v>213</v>
      </c>
      <c r="C161" s="5" t="s">
        <v>437</v>
      </c>
      <c r="D161" s="5" t="s">
        <v>445</v>
      </c>
      <c r="E161" s="5" t="s">
        <v>253</v>
      </c>
      <c r="F161" s="36" t="s">
        <v>446</v>
      </c>
      <c r="G161" s="5" t="s">
        <v>26</v>
      </c>
      <c r="H161" s="9"/>
      <c r="I161" s="48"/>
      <c r="J161" s="9"/>
      <c r="K161" s="9"/>
      <c r="L161" s="9"/>
      <c r="M161" s="28"/>
      <c r="N161" s="29"/>
      <c r="O161" s="30"/>
      <c r="P161" s="30"/>
      <c r="Q161" s="16"/>
      <c r="R161" s="18"/>
      <c r="S161" s="16"/>
      <c r="T161" s="5" t="s">
        <v>129</v>
      </c>
      <c r="U161" s="21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6.5" customHeight="1">
      <c r="A162" s="7" t="b">
        <v>0</v>
      </c>
      <c r="B162" s="5" t="s">
        <v>58</v>
      </c>
      <c r="C162" s="5" t="s">
        <v>437</v>
      </c>
      <c r="D162" s="5" t="s">
        <v>447</v>
      </c>
      <c r="E162" s="5" t="s">
        <v>60</v>
      </c>
      <c r="F162" s="50" t="s">
        <v>448</v>
      </c>
      <c r="G162" s="5" t="s">
        <v>26</v>
      </c>
      <c r="H162" s="9">
        <v>380000.0</v>
      </c>
      <c r="I162" s="34" t="s">
        <v>62</v>
      </c>
      <c r="J162" s="9"/>
      <c r="K162" s="9"/>
      <c r="L162" s="9"/>
      <c r="M162" s="28"/>
      <c r="N162" s="29"/>
      <c r="O162" s="30"/>
      <c r="P162" s="30"/>
      <c r="Q162" s="16"/>
      <c r="R162" s="18"/>
      <c r="S162" s="16"/>
      <c r="T162" s="5" t="s">
        <v>34</v>
      </c>
      <c r="U162" s="21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6.5" customHeight="1">
      <c r="A163" s="7" t="b">
        <v>0</v>
      </c>
      <c r="B163" s="6" t="s">
        <v>82</v>
      </c>
      <c r="C163" s="6" t="s">
        <v>437</v>
      </c>
      <c r="D163" s="6" t="s">
        <v>449</v>
      </c>
      <c r="E163" s="6" t="s">
        <v>60</v>
      </c>
      <c r="F163" s="32" t="s">
        <v>450</v>
      </c>
      <c r="G163" s="6" t="s">
        <v>26</v>
      </c>
      <c r="H163" s="19">
        <v>355000.0</v>
      </c>
      <c r="I163" s="34" t="s">
        <v>62</v>
      </c>
      <c r="J163" s="22">
        <v>503.0</v>
      </c>
      <c r="K163" s="22">
        <v>346.0</v>
      </c>
      <c r="L163" s="22">
        <v>3150.0</v>
      </c>
      <c r="M163" s="23">
        <v>0.43</v>
      </c>
      <c r="N163" s="24">
        <v>4.31</v>
      </c>
      <c r="O163" s="26" t="s">
        <v>29</v>
      </c>
      <c r="P163" s="26" t="s">
        <v>77</v>
      </c>
      <c r="Q163" s="27">
        <f t="shared" ref="Q163:Q168" si="58">L163/J163</f>
        <v>6.262425447</v>
      </c>
      <c r="R163" s="23">
        <f t="shared" ref="R163:R168" si="59">0+((ABS(0.5-M163)*1))</f>
        <v>0.07</v>
      </c>
      <c r="S163" s="27">
        <f t="shared" ref="S163:S168" si="60">Q163*(R163+1)</f>
        <v>6.700795229</v>
      </c>
      <c r="T163" s="6" t="s">
        <v>40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6.5" customHeight="1">
      <c r="A164" s="7" t="b">
        <v>0</v>
      </c>
      <c r="B164" s="6" t="s">
        <v>177</v>
      </c>
      <c r="C164" s="6" t="s">
        <v>437</v>
      </c>
      <c r="D164" s="6" t="s">
        <v>451</v>
      </c>
      <c r="E164" s="6" t="s">
        <v>60</v>
      </c>
      <c r="F164" s="32" t="s">
        <v>452</v>
      </c>
      <c r="G164" s="6" t="s">
        <v>26</v>
      </c>
      <c r="H164" s="19">
        <v>210000.0</v>
      </c>
      <c r="I164" s="34" t="s">
        <v>62</v>
      </c>
      <c r="J164" s="22">
        <v>562.0</v>
      </c>
      <c r="K164" s="22">
        <v>398.0</v>
      </c>
      <c r="L164" s="22">
        <v>3274.0</v>
      </c>
      <c r="M164" s="23">
        <v>0.42</v>
      </c>
      <c r="N164" s="24">
        <v>4.5</v>
      </c>
      <c r="O164" s="26" t="s">
        <v>29</v>
      </c>
      <c r="P164" s="26" t="s">
        <v>77</v>
      </c>
      <c r="Q164" s="27">
        <f t="shared" si="58"/>
        <v>5.825622776</v>
      </c>
      <c r="R164" s="23">
        <f t="shared" si="59"/>
        <v>0.08</v>
      </c>
      <c r="S164" s="27">
        <f t="shared" si="60"/>
        <v>6.291672598</v>
      </c>
      <c r="T164" s="6" t="s">
        <v>40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6.5" customHeight="1">
      <c r="A165" s="7" t="b">
        <v>0</v>
      </c>
      <c r="B165" s="6" t="s">
        <v>130</v>
      </c>
      <c r="C165" s="6" t="s">
        <v>437</v>
      </c>
      <c r="D165" s="6" t="s">
        <v>453</v>
      </c>
      <c r="E165" s="6" t="s">
        <v>231</v>
      </c>
      <c r="F165" s="32" t="s">
        <v>454</v>
      </c>
      <c r="G165" s="6" t="s">
        <v>26</v>
      </c>
      <c r="H165" s="19">
        <v>500000.0</v>
      </c>
      <c r="I165" s="34" t="s">
        <v>62</v>
      </c>
      <c r="J165" s="22">
        <v>597.0</v>
      </c>
      <c r="K165" s="22">
        <v>398.0</v>
      </c>
      <c r="L165" s="22">
        <v>3075.0</v>
      </c>
      <c r="M165" s="23">
        <v>0.42</v>
      </c>
      <c r="N165" s="24">
        <v>4.5</v>
      </c>
      <c r="O165" s="26" t="s">
        <v>29</v>
      </c>
      <c r="P165" s="26" t="s">
        <v>77</v>
      </c>
      <c r="Q165" s="27">
        <f t="shared" si="58"/>
        <v>5.150753769</v>
      </c>
      <c r="R165" s="23">
        <f t="shared" si="59"/>
        <v>0.08</v>
      </c>
      <c r="S165" s="27">
        <f t="shared" si="60"/>
        <v>5.56281407</v>
      </c>
      <c r="T165" s="6" t="s">
        <v>40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6.5" customHeight="1">
      <c r="A166" s="7" t="b">
        <v>0</v>
      </c>
      <c r="B166" s="6" t="s">
        <v>116</v>
      </c>
      <c r="C166" s="6" t="s">
        <v>437</v>
      </c>
      <c r="D166" s="6" t="s">
        <v>455</v>
      </c>
      <c r="E166" s="6" t="s">
        <v>60</v>
      </c>
      <c r="F166" s="32" t="s">
        <v>456</v>
      </c>
      <c r="G166" s="6" t="s">
        <v>26</v>
      </c>
      <c r="H166" s="19">
        <v>250000.0</v>
      </c>
      <c r="I166" s="34" t="s">
        <v>62</v>
      </c>
      <c r="J166" s="22">
        <v>660.0</v>
      </c>
      <c r="K166" s="22">
        <v>560.0</v>
      </c>
      <c r="L166" s="22">
        <v>3252.0</v>
      </c>
      <c r="M166" s="23">
        <v>0.42</v>
      </c>
      <c r="N166" s="24">
        <v>3.9</v>
      </c>
      <c r="O166" s="26" t="s">
        <v>29</v>
      </c>
      <c r="P166" s="26" t="s">
        <v>77</v>
      </c>
      <c r="Q166" s="27">
        <f t="shared" si="58"/>
        <v>4.927272727</v>
      </c>
      <c r="R166" s="23">
        <f t="shared" si="59"/>
        <v>0.08</v>
      </c>
      <c r="S166" s="27">
        <f t="shared" si="60"/>
        <v>5.321454545</v>
      </c>
      <c r="T166" s="6" t="s">
        <v>40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6.5" customHeight="1">
      <c r="A167" s="7" t="b">
        <v>0</v>
      </c>
      <c r="B167" s="6" t="s">
        <v>123</v>
      </c>
      <c r="C167" s="6" t="s">
        <v>437</v>
      </c>
      <c r="D167" s="6" t="s">
        <v>457</v>
      </c>
      <c r="E167" s="6" t="s">
        <v>231</v>
      </c>
      <c r="F167" s="50" t="s">
        <v>458</v>
      </c>
      <c r="G167" s="6" t="s">
        <v>26</v>
      </c>
      <c r="H167" s="19">
        <v>716000.0</v>
      </c>
      <c r="I167" s="34" t="s">
        <v>62</v>
      </c>
      <c r="J167" s="22">
        <v>711.0</v>
      </c>
      <c r="K167" s="22">
        <v>567.0</v>
      </c>
      <c r="L167" s="22">
        <v>3053.0</v>
      </c>
      <c r="M167" s="23">
        <v>0.42</v>
      </c>
      <c r="N167" s="24">
        <v>3.9</v>
      </c>
      <c r="O167" s="26" t="s">
        <v>29</v>
      </c>
      <c r="P167" s="26" t="s">
        <v>77</v>
      </c>
      <c r="Q167" s="27">
        <f t="shared" si="58"/>
        <v>4.29395218</v>
      </c>
      <c r="R167" s="23">
        <f t="shared" si="59"/>
        <v>0.08</v>
      </c>
      <c r="S167" s="27">
        <f t="shared" si="60"/>
        <v>4.637468354</v>
      </c>
      <c r="T167" s="6" t="s">
        <v>40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6.5" customHeight="1">
      <c r="A168" s="7" t="b">
        <v>0</v>
      </c>
      <c r="B168" s="6" t="s">
        <v>334</v>
      </c>
      <c r="C168" s="6" t="s">
        <v>437</v>
      </c>
      <c r="D168" s="6" t="s">
        <v>459</v>
      </c>
      <c r="E168" s="6" t="s">
        <v>74</v>
      </c>
      <c r="F168" s="32" t="s">
        <v>460</v>
      </c>
      <c r="G168" s="6" t="s">
        <v>26</v>
      </c>
      <c r="H168" s="19">
        <v>3600000.0</v>
      </c>
      <c r="I168" s="35" t="s">
        <v>76</v>
      </c>
      <c r="J168" s="22">
        <v>542.0</v>
      </c>
      <c r="K168" s="22">
        <v>371.0</v>
      </c>
      <c r="L168" s="22">
        <v>2090.0</v>
      </c>
      <c r="M168" s="23">
        <v>0.36</v>
      </c>
      <c r="N168" s="24">
        <v>4.99</v>
      </c>
      <c r="O168" s="26" t="s">
        <v>29</v>
      </c>
      <c r="P168" s="26" t="s">
        <v>77</v>
      </c>
      <c r="Q168" s="27">
        <f t="shared" si="58"/>
        <v>3.856088561</v>
      </c>
      <c r="R168" s="23">
        <f t="shared" si="59"/>
        <v>0.14</v>
      </c>
      <c r="S168" s="27">
        <f t="shared" si="60"/>
        <v>4.395940959</v>
      </c>
      <c r="T168" s="6" t="s">
        <v>40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6.5" customHeight="1">
      <c r="A169" s="7" t="b">
        <v>0</v>
      </c>
      <c r="B169" s="5" t="s">
        <v>66</v>
      </c>
      <c r="C169" s="5" t="s">
        <v>437</v>
      </c>
      <c r="D169" s="5" t="s">
        <v>461</v>
      </c>
      <c r="E169" s="5" t="s">
        <v>253</v>
      </c>
      <c r="F169" s="36" t="s">
        <v>462</v>
      </c>
      <c r="G169" s="5" t="s">
        <v>26</v>
      </c>
      <c r="H169" s="9"/>
      <c r="I169" s="48"/>
      <c r="J169" s="9"/>
      <c r="K169" s="9"/>
      <c r="L169" s="9"/>
      <c r="M169" s="28"/>
      <c r="N169" s="29"/>
      <c r="O169" s="30"/>
      <c r="P169" s="30"/>
      <c r="Q169" s="16"/>
      <c r="R169" s="18"/>
      <c r="S169" s="16"/>
      <c r="T169" s="5" t="s">
        <v>129</v>
      </c>
      <c r="U169" s="21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6.5" customHeight="1">
      <c r="A170" s="7" t="b">
        <v>0</v>
      </c>
      <c r="B170" s="6" t="s">
        <v>217</v>
      </c>
      <c r="C170" s="6" t="s">
        <v>437</v>
      </c>
      <c r="D170" s="6" t="s">
        <v>463</v>
      </c>
      <c r="E170" s="6" t="s">
        <v>126</v>
      </c>
      <c r="F170" s="50" t="s">
        <v>464</v>
      </c>
      <c r="G170" s="6" t="s">
        <v>26</v>
      </c>
      <c r="H170" s="19">
        <v>2000000.0</v>
      </c>
      <c r="I170" s="35" t="s">
        <v>76</v>
      </c>
      <c r="J170" s="22">
        <v>691.0</v>
      </c>
      <c r="K170" s="22">
        <v>479.0</v>
      </c>
      <c r="L170" s="22">
        <v>3115.0</v>
      </c>
      <c r="M170" s="23">
        <v>0.47</v>
      </c>
      <c r="N170" s="24">
        <v>6.0</v>
      </c>
      <c r="O170" s="26" t="s">
        <v>29</v>
      </c>
      <c r="P170" s="26" t="s">
        <v>30</v>
      </c>
      <c r="Q170" s="27">
        <f>L170/J170</f>
        <v>4.507959479</v>
      </c>
      <c r="R170" s="23">
        <f>0+((ABS(0.5-M170)*1))</f>
        <v>0.03</v>
      </c>
      <c r="S170" s="27">
        <f>Q170*(R170+1)</f>
        <v>4.643198263</v>
      </c>
      <c r="T170" s="6" t="s">
        <v>40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6.5" customHeight="1">
      <c r="A171" s="7" t="b">
        <v>0</v>
      </c>
      <c r="B171" s="5" t="s">
        <v>285</v>
      </c>
      <c r="C171" s="5" t="s">
        <v>437</v>
      </c>
      <c r="D171" s="5" t="s">
        <v>465</v>
      </c>
      <c r="E171" s="5" t="s">
        <v>126</v>
      </c>
      <c r="F171" s="50" t="s">
        <v>466</v>
      </c>
      <c r="G171" s="5" t="s">
        <v>26</v>
      </c>
      <c r="H171" s="9"/>
      <c r="I171" s="48"/>
      <c r="J171" s="9"/>
      <c r="K171" s="9"/>
      <c r="L171" s="9"/>
      <c r="M171" s="28"/>
      <c r="N171" s="29"/>
      <c r="O171" s="30"/>
      <c r="P171" s="30"/>
      <c r="Q171" s="16"/>
      <c r="R171" s="18"/>
      <c r="S171" s="16"/>
      <c r="T171" s="5" t="s">
        <v>129</v>
      </c>
      <c r="U171" s="21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6.5" customHeight="1">
      <c r="A172" s="7" t="b">
        <v>0</v>
      </c>
      <c r="B172" s="6" t="s">
        <v>21</v>
      </c>
      <c r="C172" s="6" t="s">
        <v>437</v>
      </c>
      <c r="D172" s="6" t="s">
        <v>467</v>
      </c>
      <c r="E172" s="6" t="s">
        <v>141</v>
      </c>
      <c r="F172" s="32" t="s">
        <v>468</v>
      </c>
      <c r="G172" s="6" t="s">
        <v>26</v>
      </c>
      <c r="H172" s="19">
        <v>395000.0</v>
      </c>
      <c r="I172" s="35" t="s">
        <v>76</v>
      </c>
      <c r="J172" s="22">
        <v>788.0</v>
      </c>
      <c r="K172" s="22">
        <v>529.0</v>
      </c>
      <c r="L172" s="22">
        <v>3594.0</v>
      </c>
      <c r="M172" s="23">
        <v>0.47</v>
      </c>
      <c r="N172" s="24">
        <v>6.5</v>
      </c>
      <c r="O172" s="26" t="s">
        <v>29</v>
      </c>
      <c r="P172" s="26" t="s">
        <v>30</v>
      </c>
      <c r="Q172" s="27">
        <f t="shared" ref="Q172:Q175" si="61">L172/J172</f>
        <v>4.560913706</v>
      </c>
      <c r="R172" s="23">
        <f t="shared" ref="R172:R175" si="62">0+((ABS(0.5-M172)*1))</f>
        <v>0.03</v>
      </c>
      <c r="S172" s="27">
        <f t="shared" ref="S172:S175" si="63">Q172*(R172+1)</f>
        <v>4.697741117</v>
      </c>
      <c r="T172" s="6" t="s">
        <v>40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6.5" customHeight="1">
      <c r="A173" s="7" t="b">
        <v>0</v>
      </c>
      <c r="B173" s="6" t="s">
        <v>329</v>
      </c>
      <c r="C173" s="6" t="s">
        <v>437</v>
      </c>
      <c r="D173" s="6" t="s">
        <v>469</v>
      </c>
      <c r="E173" s="6" t="s">
        <v>99</v>
      </c>
      <c r="F173" s="8" t="s">
        <v>349</v>
      </c>
      <c r="G173" s="6" t="s">
        <v>26</v>
      </c>
      <c r="H173" s="19">
        <v>390000.0</v>
      </c>
      <c r="I173" s="34" t="s">
        <v>62</v>
      </c>
      <c r="J173" s="22">
        <v>195.0</v>
      </c>
      <c r="K173" s="22">
        <v>165.0</v>
      </c>
      <c r="L173" s="22">
        <v>2380.0</v>
      </c>
      <c r="M173" s="23">
        <v>0.41</v>
      </c>
      <c r="N173" s="24">
        <v>2.42</v>
      </c>
      <c r="O173" s="26" t="s">
        <v>29</v>
      </c>
      <c r="P173" s="26" t="s">
        <v>77</v>
      </c>
      <c r="Q173" s="27">
        <f t="shared" si="61"/>
        <v>12.20512821</v>
      </c>
      <c r="R173" s="23">
        <f t="shared" si="62"/>
        <v>0.09</v>
      </c>
      <c r="S173" s="27">
        <f t="shared" si="63"/>
        <v>13.30358974</v>
      </c>
      <c r="T173" s="6" t="s">
        <v>40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6.5" customHeight="1">
      <c r="A174" s="7" t="b">
        <v>0</v>
      </c>
      <c r="B174" s="6" t="s">
        <v>63</v>
      </c>
      <c r="C174" s="6" t="s">
        <v>437</v>
      </c>
      <c r="D174" s="6" t="s">
        <v>470</v>
      </c>
      <c r="E174" s="6" t="s">
        <v>253</v>
      </c>
      <c r="F174" s="32" t="s">
        <v>357</v>
      </c>
      <c r="G174" s="6" t="s">
        <v>26</v>
      </c>
      <c r="H174" s="19">
        <v>3500000.0</v>
      </c>
      <c r="I174" s="35" t="s">
        <v>76</v>
      </c>
      <c r="J174" s="22">
        <v>650.0</v>
      </c>
      <c r="K174" s="22">
        <v>484.0</v>
      </c>
      <c r="L174" s="22">
        <v>3263.0</v>
      </c>
      <c r="M174" s="23">
        <v>0.44</v>
      </c>
      <c r="N174" s="24">
        <v>6.0</v>
      </c>
      <c r="O174" s="26" t="s">
        <v>29</v>
      </c>
      <c r="P174" s="26" t="s">
        <v>77</v>
      </c>
      <c r="Q174" s="27">
        <f t="shared" si="61"/>
        <v>5.02</v>
      </c>
      <c r="R174" s="23">
        <f t="shared" si="62"/>
        <v>0.06</v>
      </c>
      <c r="S174" s="27">
        <f t="shared" si="63"/>
        <v>5.3212</v>
      </c>
      <c r="T174" s="6" t="s">
        <v>72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6.5" customHeight="1">
      <c r="A175" s="7" t="b">
        <v>0</v>
      </c>
      <c r="B175" s="6" t="s">
        <v>116</v>
      </c>
      <c r="C175" s="6" t="s">
        <v>437</v>
      </c>
      <c r="D175" s="6" t="s">
        <v>471</v>
      </c>
      <c r="E175" s="6" t="s">
        <v>141</v>
      </c>
      <c r="F175" s="32" t="s">
        <v>472</v>
      </c>
      <c r="G175" s="6" t="s">
        <v>26</v>
      </c>
      <c r="H175" s="19">
        <v>500000.0</v>
      </c>
      <c r="I175" s="34" t="s">
        <v>62</v>
      </c>
      <c r="J175" s="22">
        <v>769.0</v>
      </c>
      <c r="K175" s="22">
        <v>519.0</v>
      </c>
      <c r="L175" s="22">
        <v>3351.0</v>
      </c>
      <c r="M175" s="23">
        <v>0.46</v>
      </c>
      <c r="N175" s="24">
        <v>6.26</v>
      </c>
      <c r="O175" s="26" t="s">
        <v>29</v>
      </c>
      <c r="P175" s="26" t="s">
        <v>30</v>
      </c>
      <c r="Q175" s="27">
        <f t="shared" si="61"/>
        <v>4.357607282</v>
      </c>
      <c r="R175" s="23">
        <f t="shared" si="62"/>
        <v>0.04</v>
      </c>
      <c r="S175" s="27">
        <f t="shared" si="63"/>
        <v>4.531911573</v>
      </c>
      <c r="T175" s="6" t="s">
        <v>40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6.5" customHeight="1">
      <c r="A176" s="7" t="b">
        <v>0</v>
      </c>
      <c r="B176" s="5" t="s">
        <v>473</v>
      </c>
      <c r="C176" s="5" t="s">
        <v>437</v>
      </c>
      <c r="D176" s="5" t="s">
        <v>474</v>
      </c>
      <c r="E176" s="5" t="s">
        <v>253</v>
      </c>
      <c r="F176" s="25" t="s">
        <v>475</v>
      </c>
      <c r="G176" s="5" t="s">
        <v>26</v>
      </c>
      <c r="H176" s="9">
        <v>250000.0</v>
      </c>
      <c r="I176" s="34" t="s">
        <v>62</v>
      </c>
      <c r="J176" s="9"/>
      <c r="K176" s="9"/>
      <c r="L176" s="9"/>
      <c r="M176" s="28"/>
      <c r="N176" s="29"/>
      <c r="O176" s="30"/>
      <c r="P176" s="30"/>
      <c r="Q176" s="16"/>
      <c r="R176" s="18"/>
      <c r="S176" s="16"/>
      <c r="T176" s="5" t="s">
        <v>129</v>
      </c>
      <c r="U176" s="21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6.5" customHeight="1">
      <c r="A177" s="7" t="b">
        <v>0</v>
      </c>
      <c r="B177" s="6" t="s">
        <v>299</v>
      </c>
      <c r="C177" s="6" t="s">
        <v>437</v>
      </c>
      <c r="D177" s="6" t="s">
        <v>476</v>
      </c>
      <c r="E177" s="6" t="s">
        <v>253</v>
      </c>
      <c r="F177" s="36" t="s">
        <v>273</v>
      </c>
      <c r="G177" s="6" t="s">
        <v>26</v>
      </c>
      <c r="H177" s="19">
        <v>2000000.0</v>
      </c>
      <c r="I177" s="35" t="s">
        <v>76</v>
      </c>
      <c r="J177" s="22">
        <v>478.0</v>
      </c>
      <c r="K177" s="22">
        <v>424.0</v>
      </c>
      <c r="L177" s="22">
        <v>2980.0</v>
      </c>
      <c r="M177" s="23">
        <v>0.42</v>
      </c>
      <c r="N177" s="24">
        <v>2.94</v>
      </c>
      <c r="O177" s="26" t="s">
        <v>29</v>
      </c>
      <c r="P177" s="26" t="s">
        <v>77</v>
      </c>
      <c r="Q177" s="27">
        <f t="shared" ref="Q177:Q179" si="64">L177/J177</f>
        <v>6.234309623</v>
      </c>
      <c r="R177" s="23">
        <f t="shared" ref="R177:R179" si="65">0+((ABS(0.5-M177)*1))</f>
        <v>0.08</v>
      </c>
      <c r="S177" s="27">
        <f t="shared" ref="S177:S179" si="66">Q177*(R177+1)</f>
        <v>6.733054393</v>
      </c>
      <c r="T177" s="6" t="s">
        <v>122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6.5" customHeight="1">
      <c r="A178" s="7" t="b">
        <v>0</v>
      </c>
      <c r="B178" s="6" t="s">
        <v>477</v>
      </c>
      <c r="C178" s="6" t="s">
        <v>437</v>
      </c>
      <c r="D178" s="6" t="s">
        <v>478</v>
      </c>
      <c r="E178" s="6" t="s">
        <v>106</v>
      </c>
      <c r="F178" s="49" t="s">
        <v>479</v>
      </c>
      <c r="G178" s="6" t="s">
        <v>26</v>
      </c>
      <c r="H178" s="19">
        <v>3200000.0</v>
      </c>
      <c r="I178" s="35" t="s">
        <v>76</v>
      </c>
      <c r="J178" s="22">
        <v>691.0</v>
      </c>
      <c r="K178" s="22">
        <v>526.0</v>
      </c>
      <c r="L178" s="22">
        <v>2315.0</v>
      </c>
      <c r="M178" s="23">
        <v>0.42</v>
      </c>
      <c r="N178" s="24">
        <v>2.94</v>
      </c>
      <c r="O178" s="26" t="s">
        <v>29</v>
      </c>
      <c r="P178" s="26" t="s">
        <v>77</v>
      </c>
      <c r="Q178" s="27">
        <f t="shared" si="64"/>
        <v>3.350217077</v>
      </c>
      <c r="R178" s="23">
        <f t="shared" si="65"/>
        <v>0.08</v>
      </c>
      <c r="S178" s="27">
        <f t="shared" si="66"/>
        <v>3.618234443</v>
      </c>
      <c r="T178" s="6" t="s">
        <v>40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6.5" customHeight="1">
      <c r="A179" s="7" t="b">
        <v>0</v>
      </c>
      <c r="B179" s="6" t="s">
        <v>242</v>
      </c>
      <c r="C179" s="6" t="s">
        <v>437</v>
      </c>
      <c r="D179" s="6" t="s">
        <v>480</v>
      </c>
      <c r="E179" s="6" t="s">
        <v>253</v>
      </c>
      <c r="F179" s="36" t="s">
        <v>273</v>
      </c>
      <c r="G179" s="6" t="s">
        <v>26</v>
      </c>
      <c r="H179" s="19">
        <v>4500000.0</v>
      </c>
      <c r="I179" s="35" t="s">
        <v>76</v>
      </c>
      <c r="J179" s="22">
        <v>513.0</v>
      </c>
      <c r="K179" s="22">
        <v>347.0</v>
      </c>
      <c r="L179" s="22">
        <v>2976.0</v>
      </c>
      <c r="M179" s="23">
        <v>0.42</v>
      </c>
      <c r="N179" s="24">
        <v>4.7</v>
      </c>
      <c r="O179" s="26" t="s">
        <v>29</v>
      </c>
      <c r="P179" s="26" t="s">
        <v>77</v>
      </c>
      <c r="Q179" s="27">
        <f t="shared" si="64"/>
        <v>5.801169591</v>
      </c>
      <c r="R179" s="23">
        <f t="shared" si="65"/>
        <v>0.08</v>
      </c>
      <c r="S179" s="27">
        <f t="shared" si="66"/>
        <v>6.265263158</v>
      </c>
      <c r="T179" s="6" t="s">
        <v>40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6.5" customHeight="1">
      <c r="A180" s="7" t="b">
        <v>0</v>
      </c>
      <c r="B180" s="5" t="s">
        <v>367</v>
      </c>
      <c r="C180" s="5" t="s">
        <v>437</v>
      </c>
      <c r="D180" s="5" t="s">
        <v>481</v>
      </c>
      <c r="E180" s="5" t="s">
        <v>126</v>
      </c>
      <c r="F180" s="49" t="s">
        <v>482</v>
      </c>
      <c r="G180" s="5" t="s">
        <v>26</v>
      </c>
      <c r="H180" s="9"/>
      <c r="I180" s="48"/>
      <c r="J180" s="9"/>
      <c r="K180" s="9"/>
      <c r="L180" s="9"/>
      <c r="M180" s="28"/>
      <c r="N180" s="29"/>
      <c r="O180" s="30"/>
      <c r="P180" s="30"/>
      <c r="Q180" s="16"/>
      <c r="R180" s="18"/>
      <c r="S180" s="16"/>
      <c r="T180" s="5" t="s">
        <v>103</v>
      </c>
      <c r="U180" s="21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6.5" customHeight="1">
      <c r="A181" s="7" t="b">
        <v>0</v>
      </c>
      <c r="B181" s="5" t="s">
        <v>123</v>
      </c>
      <c r="C181" s="5" t="s">
        <v>437</v>
      </c>
      <c r="D181" s="5" t="s">
        <v>483</v>
      </c>
      <c r="E181" s="5" t="s">
        <v>60</v>
      </c>
      <c r="F181" s="50" t="s">
        <v>484</v>
      </c>
      <c r="G181" s="5" t="s">
        <v>26</v>
      </c>
      <c r="H181" s="9"/>
      <c r="I181" s="48"/>
      <c r="J181" s="9"/>
      <c r="K181" s="9"/>
      <c r="L181" s="9"/>
      <c r="M181" s="28"/>
      <c r="N181" s="29"/>
      <c r="O181" s="30"/>
      <c r="P181" s="30"/>
      <c r="Q181" s="16"/>
      <c r="R181" s="18"/>
      <c r="S181" s="16"/>
      <c r="T181" s="5" t="s">
        <v>129</v>
      </c>
      <c r="U181" s="21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6.5" customHeight="1">
      <c r="A182" s="7" t="b">
        <v>0</v>
      </c>
      <c r="B182" s="37" t="s">
        <v>485</v>
      </c>
      <c r="C182" s="37" t="s">
        <v>437</v>
      </c>
      <c r="D182" s="37" t="s">
        <v>486</v>
      </c>
      <c r="E182" s="37" t="s">
        <v>156</v>
      </c>
      <c r="F182" s="49" t="s">
        <v>127</v>
      </c>
      <c r="G182" s="37" t="s">
        <v>26</v>
      </c>
      <c r="H182" s="38">
        <v>1000000.0</v>
      </c>
      <c r="I182" s="35" t="s">
        <v>76</v>
      </c>
      <c r="J182" s="46">
        <v>1184.0</v>
      </c>
      <c r="K182" s="46">
        <v>793.0</v>
      </c>
      <c r="L182" s="46">
        <v>3699.0</v>
      </c>
      <c r="M182" s="45">
        <v>0.42</v>
      </c>
      <c r="N182" s="47">
        <v>2.99</v>
      </c>
      <c r="O182" s="43" t="s">
        <v>71</v>
      </c>
      <c r="P182" s="43" t="s">
        <v>77</v>
      </c>
      <c r="Q182" s="44">
        <f t="shared" ref="Q182:Q191" si="67">L182/J182</f>
        <v>3.124155405</v>
      </c>
      <c r="R182" s="45">
        <f t="shared" ref="R182:R191" si="68">0+((ABS(0.5-M182)*1))</f>
        <v>0.08</v>
      </c>
      <c r="S182" s="44">
        <f t="shared" ref="S182:S191" si="69">Q182*(R182+1)</f>
        <v>3.374087838</v>
      </c>
      <c r="T182" s="37" t="s">
        <v>88</v>
      </c>
      <c r="U182" s="37" t="s">
        <v>94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6.5" customHeight="1">
      <c r="A183" s="7" t="b">
        <v>0</v>
      </c>
      <c r="B183" s="6" t="s">
        <v>268</v>
      </c>
      <c r="C183" s="6" t="s">
        <v>437</v>
      </c>
      <c r="D183" s="6" t="s">
        <v>487</v>
      </c>
      <c r="E183" s="6" t="s">
        <v>126</v>
      </c>
      <c r="F183" s="50" t="s">
        <v>488</v>
      </c>
      <c r="G183" s="6" t="s">
        <v>26</v>
      </c>
      <c r="H183" s="19">
        <v>2500000.0</v>
      </c>
      <c r="I183" s="35" t="s">
        <v>76</v>
      </c>
      <c r="J183" s="22">
        <v>789.0</v>
      </c>
      <c r="K183" s="22">
        <v>506.0</v>
      </c>
      <c r="L183" s="22">
        <v>2731.0</v>
      </c>
      <c r="M183" s="23">
        <v>0.44</v>
      </c>
      <c r="N183" s="24">
        <v>6.26</v>
      </c>
      <c r="O183" s="26" t="s">
        <v>29</v>
      </c>
      <c r="P183" s="26" t="s">
        <v>77</v>
      </c>
      <c r="Q183" s="27">
        <f t="shared" si="67"/>
        <v>3.461343473</v>
      </c>
      <c r="R183" s="23">
        <f t="shared" si="68"/>
        <v>0.06</v>
      </c>
      <c r="S183" s="27">
        <f t="shared" si="69"/>
        <v>3.669024081</v>
      </c>
      <c r="T183" s="6" t="s">
        <v>40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6.5" customHeight="1">
      <c r="A184" s="7" t="b">
        <v>0</v>
      </c>
      <c r="B184" s="6" t="s">
        <v>79</v>
      </c>
      <c r="C184" s="6" t="s">
        <v>437</v>
      </c>
      <c r="D184" s="6" t="s">
        <v>489</v>
      </c>
      <c r="E184" s="6" t="s">
        <v>126</v>
      </c>
      <c r="F184" s="49" t="s">
        <v>490</v>
      </c>
      <c r="G184" s="6" t="s">
        <v>26</v>
      </c>
      <c r="H184" s="19">
        <v>4300000.0</v>
      </c>
      <c r="I184" s="35" t="s">
        <v>76</v>
      </c>
      <c r="J184" s="22">
        <v>1036.0</v>
      </c>
      <c r="K184" s="22">
        <v>664.0</v>
      </c>
      <c r="L184" s="22">
        <v>2831.0</v>
      </c>
      <c r="M184" s="23">
        <v>0.41</v>
      </c>
      <c r="N184" s="24">
        <v>6.26</v>
      </c>
      <c r="O184" s="26" t="s">
        <v>29</v>
      </c>
      <c r="P184" s="26" t="s">
        <v>77</v>
      </c>
      <c r="Q184" s="27">
        <f t="shared" si="67"/>
        <v>2.732625483</v>
      </c>
      <c r="R184" s="23">
        <f t="shared" si="68"/>
        <v>0.09</v>
      </c>
      <c r="S184" s="27">
        <f t="shared" si="69"/>
        <v>2.978561776</v>
      </c>
      <c r="T184" s="6" t="s">
        <v>40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6.5" customHeight="1">
      <c r="A185" s="7" t="b">
        <v>0</v>
      </c>
      <c r="B185" s="6" t="s">
        <v>196</v>
      </c>
      <c r="C185" s="6" t="s">
        <v>437</v>
      </c>
      <c r="D185" s="6" t="s">
        <v>491</v>
      </c>
      <c r="E185" s="6" t="s">
        <v>126</v>
      </c>
      <c r="F185" s="49" t="s">
        <v>492</v>
      </c>
      <c r="G185" s="6" t="s">
        <v>26</v>
      </c>
      <c r="H185" s="19">
        <v>4500000.0</v>
      </c>
      <c r="I185" s="35" t="s">
        <v>76</v>
      </c>
      <c r="J185" s="22">
        <v>1036.0</v>
      </c>
      <c r="K185" s="22">
        <v>663.0</v>
      </c>
      <c r="L185" s="22">
        <v>2800.0</v>
      </c>
      <c r="M185" s="23">
        <v>0.41</v>
      </c>
      <c r="N185" s="24">
        <v>6.26</v>
      </c>
      <c r="O185" s="26" t="s">
        <v>29</v>
      </c>
      <c r="P185" s="26" t="s">
        <v>77</v>
      </c>
      <c r="Q185" s="27">
        <f t="shared" si="67"/>
        <v>2.702702703</v>
      </c>
      <c r="R185" s="23">
        <f t="shared" si="68"/>
        <v>0.09</v>
      </c>
      <c r="S185" s="27">
        <f t="shared" si="69"/>
        <v>2.945945946</v>
      </c>
      <c r="T185" s="6" t="s">
        <v>40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6.5" customHeight="1">
      <c r="A186" s="7" t="b">
        <v>0</v>
      </c>
      <c r="B186" s="37" t="s">
        <v>196</v>
      </c>
      <c r="C186" s="37" t="s">
        <v>437</v>
      </c>
      <c r="D186" s="37" t="s">
        <v>493</v>
      </c>
      <c r="E186" s="37" t="s">
        <v>126</v>
      </c>
      <c r="F186" s="49" t="s">
        <v>494</v>
      </c>
      <c r="G186" s="37" t="s">
        <v>26</v>
      </c>
      <c r="H186" s="38">
        <v>250000.0</v>
      </c>
      <c r="I186" s="35" t="s">
        <v>76</v>
      </c>
      <c r="J186" s="46">
        <v>1036.0</v>
      </c>
      <c r="K186" s="46">
        <v>663.0</v>
      </c>
      <c r="L186" s="46">
        <v>2304.0</v>
      </c>
      <c r="M186" s="45">
        <v>0.41</v>
      </c>
      <c r="N186" s="47">
        <v>6.26</v>
      </c>
      <c r="O186" s="43" t="s">
        <v>29</v>
      </c>
      <c r="P186" s="43" t="s">
        <v>77</v>
      </c>
      <c r="Q186" s="44">
        <f t="shared" si="67"/>
        <v>2.223938224</v>
      </c>
      <c r="R186" s="45">
        <f t="shared" si="68"/>
        <v>0.09</v>
      </c>
      <c r="S186" s="44">
        <f t="shared" si="69"/>
        <v>2.424092664</v>
      </c>
      <c r="T186" s="37" t="s">
        <v>88</v>
      </c>
      <c r="U186" s="37" t="s">
        <v>278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6.5" customHeight="1">
      <c r="A187" s="7" t="b">
        <v>0</v>
      </c>
      <c r="B187" s="6" t="s">
        <v>21</v>
      </c>
      <c r="C187" s="6" t="s">
        <v>437</v>
      </c>
      <c r="D187" s="6" t="s">
        <v>495</v>
      </c>
      <c r="E187" s="6" t="s">
        <v>60</v>
      </c>
      <c r="F187" s="32" t="s">
        <v>496</v>
      </c>
      <c r="G187" s="6" t="s">
        <v>26</v>
      </c>
      <c r="H187" s="19">
        <v>2500000.0</v>
      </c>
      <c r="I187" s="10" t="s">
        <v>27</v>
      </c>
      <c r="J187" s="22">
        <v>681.0</v>
      </c>
      <c r="K187" s="22">
        <v>560.0</v>
      </c>
      <c r="L187" s="22">
        <v>3362.0</v>
      </c>
      <c r="M187" s="23">
        <v>0.42</v>
      </c>
      <c r="N187" s="24">
        <v>3.9</v>
      </c>
      <c r="O187" s="26" t="s">
        <v>29</v>
      </c>
      <c r="P187" s="26" t="s">
        <v>77</v>
      </c>
      <c r="Q187" s="27">
        <f t="shared" si="67"/>
        <v>4.936857562</v>
      </c>
      <c r="R187" s="23">
        <f t="shared" si="68"/>
        <v>0.08</v>
      </c>
      <c r="S187" s="27">
        <f t="shared" si="69"/>
        <v>5.331806167</v>
      </c>
      <c r="T187" s="6" t="s">
        <v>40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6.5" customHeight="1">
      <c r="A188" s="7" t="b">
        <v>0</v>
      </c>
      <c r="B188" s="37" t="s">
        <v>21</v>
      </c>
      <c r="C188" s="37" t="s">
        <v>437</v>
      </c>
      <c r="D188" s="37" t="s">
        <v>497</v>
      </c>
      <c r="E188" s="37" t="s">
        <v>60</v>
      </c>
      <c r="F188" s="32" t="s">
        <v>277</v>
      </c>
      <c r="G188" s="37" t="s">
        <v>26</v>
      </c>
      <c r="H188" s="38">
        <v>309000.0</v>
      </c>
      <c r="I188" s="35" t="s">
        <v>76</v>
      </c>
      <c r="J188" s="39">
        <v>681.0</v>
      </c>
      <c r="K188" s="39">
        <v>560.0</v>
      </c>
      <c r="L188" s="39">
        <v>3051.0</v>
      </c>
      <c r="M188" s="40">
        <v>0.42</v>
      </c>
      <c r="N188" s="41">
        <v>3.9</v>
      </c>
      <c r="O188" s="42" t="s">
        <v>29</v>
      </c>
      <c r="P188" s="43" t="s">
        <v>77</v>
      </c>
      <c r="Q188" s="44">
        <f t="shared" si="67"/>
        <v>4.480176211</v>
      </c>
      <c r="R188" s="45">
        <f t="shared" si="68"/>
        <v>0.08</v>
      </c>
      <c r="S188" s="44">
        <f t="shared" si="69"/>
        <v>4.838590308</v>
      </c>
      <c r="T188" s="37" t="s">
        <v>88</v>
      </c>
      <c r="U188" s="37" t="s">
        <v>498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6.5" customHeight="1">
      <c r="A189" s="7" t="b">
        <v>0</v>
      </c>
      <c r="B189" s="6" t="s">
        <v>130</v>
      </c>
      <c r="C189" s="6" t="s">
        <v>437</v>
      </c>
      <c r="D189" s="6" t="s">
        <v>499</v>
      </c>
      <c r="E189" s="6" t="s">
        <v>156</v>
      </c>
      <c r="F189" s="50" t="s">
        <v>500</v>
      </c>
      <c r="G189" s="6" t="s">
        <v>26</v>
      </c>
      <c r="H189" s="19">
        <v>3000000.0</v>
      </c>
      <c r="I189" s="35" t="s">
        <v>76</v>
      </c>
      <c r="J189" s="22">
        <v>963.0</v>
      </c>
      <c r="K189" s="22">
        <v>663.0</v>
      </c>
      <c r="L189" s="22">
        <v>3263.0</v>
      </c>
      <c r="M189" s="23">
        <v>0.41</v>
      </c>
      <c r="N189" s="24">
        <v>6.26</v>
      </c>
      <c r="O189" s="26" t="s">
        <v>29</v>
      </c>
      <c r="P189" s="26" t="s">
        <v>77</v>
      </c>
      <c r="Q189" s="27">
        <f t="shared" si="67"/>
        <v>3.388369678</v>
      </c>
      <c r="R189" s="23">
        <f t="shared" si="68"/>
        <v>0.09</v>
      </c>
      <c r="S189" s="27">
        <f t="shared" si="69"/>
        <v>3.693322949</v>
      </c>
      <c r="T189" s="6" t="s">
        <v>40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6.5" customHeight="1">
      <c r="A190" s="7" t="b">
        <v>0</v>
      </c>
      <c r="B190" s="6" t="s">
        <v>123</v>
      </c>
      <c r="C190" s="6" t="s">
        <v>437</v>
      </c>
      <c r="D190" s="6" t="s">
        <v>501</v>
      </c>
      <c r="E190" s="6" t="s">
        <v>141</v>
      </c>
      <c r="F190" s="32" t="s">
        <v>502</v>
      </c>
      <c r="G190" s="6" t="s">
        <v>26</v>
      </c>
      <c r="H190" s="19">
        <v>2500000.0</v>
      </c>
      <c r="I190" s="35" t="s">
        <v>76</v>
      </c>
      <c r="J190" s="22">
        <v>799.0</v>
      </c>
      <c r="K190" s="22">
        <v>530.0</v>
      </c>
      <c r="L190" s="22">
        <v>3503.0</v>
      </c>
      <c r="M190" s="23">
        <v>0.48</v>
      </c>
      <c r="N190" s="24">
        <v>6.5</v>
      </c>
      <c r="O190" s="26" t="s">
        <v>29</v>
      </c>
      <c r="P190" s="26" t="s">
        <v>30</v>
      </c>
      <c r="Q190" s="27">
        <f t="shared" si="67"/>
        <v>4.384230288</v>
      </c>
      <c r="R190" s="23">
        <f t="shared" si="68"/>
        <v>0.02</v>
      </c>
      <c r="S190" s="27">
        <f t="shared" si="69"/>
        <v>4.471914894</v>
      </c>
      <c r="T190" s="6" t="s">
        <v>40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6.5" customHeight="1">
      <c r="A191" s="7" t="b">
        <v>0</v>
      </c>
      <c r="B191" s="6" t="s">
        <v>196</v>
      </c>
      <c r="C191" s="6" t="s">
        <v>437</v>
      </c>
      <c r="D191" s="6" t="s">
        <v>503</v>
      </c>
      <c r="E191" s="6" t="s">
        <v>141</v>
      </c>
      <c r="F191" s="32" t="s">
        <v>504</v>
      </c>
      <c r="G191" s="6" t="s">
        <v>26</v>
      </c>
      <c r="H191" s="19">
        <v>200000.0</v>
      </c>
      <c r="I191" s="34" t="s">
        <v>62</v>
      </c>
      <c r="J191" s="22">
        <v>591.0</v>
      </c>
      <c r="K191" s="22">
        <v>560.0</v>
      </c>
      <c r="L191" s="22">
        <v>3669.0</v>
      </c>
      <c r="M191" s="23">
        <v>0.46</v>
      </c>
      <c r="N191" s="24">
        <v>3.86</v>
      </c>
      <c r="O191" s="26" t="s">
        <v>29</v>
      </c>
      <c r="P191" s="26" t="s">
        <v>30</v>
      </c>
      <c r="Q191" s="27">
        <f t="shared" si="67"/>
        <v>6.208121827</v>
      </c>
      <c r="R191" s="23">
        <f t="shared" si="68"/>
        <v>0.04</v>
      </c>
      <c r="S191" s="27">
        <f t="shared" si="69"/>
        <v>6.456446701</v>
      </c>
      <c r="T191" s="6" t="s">
        <v>40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6.5" customHeight="1">
      <c r="A192" s="7" t="b">
        <v>0</v>
      </c>
      <c r="B192" s="5" t="s">
        <v>180</v>
      </c>
      <c r="C192" s="5" t="s">
        <v>437</v>
      </c>
      <c r="D192" s="5" t="s">
        <v>505</v>
      </c>
      <c r="E192" s="5" t="s">
        <v>141</v>
      </c>
      <c r="F192" s="32" t="s">
        <v>433</v>
      </c>
      <c r="G192" s="5" t="s">
        <v>26</v>
      </c>
      <c r="H192" s="9">
        <v>250000.0</v>
      </c>
      <c r="I192" s="34" t="s">
        <v>62</v>
      </c>
      <c r="J192" s="9"/>
      <c r="K192" s="9"/>
      <c r="L192" s="9"/>
      <c r="M192" s="28"/>
      <c r="N192" s="29"/>
      <c r="O192" s="30"/>
      <c r="P192" s="30"/>
      <c r="Q192" s="16"/>
      <c r="R192" s="18"/>
      <c r="S192" s="16"/>
      <c r="T192" s="5" t="s">
        <v>34</v>
      </c>
      <c r="U192" s="21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6.5" customHeight="1">
      <c r="A193" s="7" t="b">
        <v>0</v>
      </c>
      <c r="B193" s="6" t="s">
        <v>180</v>
      </c>
      <c r="C193" s="6" t="s">
        <v>437</v>
      </c>
      <c r="D193" s="6" t="s">
        <v>506</v>
      </c>
      <c r="E193" s="6" t="s">
        <v>156</v>
      </c>
      <c r="F193" s="50" t="s">
        <v>507</v>
      </c>
      <c r="G193" s="6" t="s">
        <v>26</v>
      </c>
      <c r="H193" s="19">
        <v>575000.0</v>
      </c>
      <c r="I193" s="35" t="s">
        <v>76</v>
      </c>
      <c r="J193" s="22">
        <v>986.0</v>
      </c>
      <c r="K193" s="22">
        <v>912.0</v>
      </c>
      <c r="L193" s="22">
        <v>3684.0</v>
      </c>
      <c r="M193" s="23">
        <v>0.45</v>
      </c>
      <c r="N193" s="24">
        <v>3.99</v>
      </c>
      <c r="O193" s="26" t="s">
        <v>71</v>
      </c>
      <c r="P193" s="26" t="s">
        <v>77</v>
      </c>
      <c r="Q193" s="27">
        <f t="shared" ref="Q193:Q205" si="70">L193/J193</f>
        <v>3.736308316</v>
      </c>
      <c r="R193" s="23">
        <f t="shared" ref="R193:R205" si="71">0+((ABS(0.5-M193)*1))</f>
        <v>0.05</v>
      </c>
      <c r="S193" s="27">
        <f t="shared" ref="S193:S205" si="72">Q193*(R193+1)</f>
        <v>3.923123732</v>
      </c>
      <c r="T193" s="6" t="s">
        <v>40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6.5" customHeight="1">
      <c r="A194" s="7" t="b">
        <v>0</v>
      </c>
      <c r="B194" s="6" t="s">
        <v>79</v>
      </c>
      <c r="C194" s="6" t="s">
        <v>508</v>
      </c>
      <c r="D194" s="6" t="s">
        <v>509</v>
      </c>
      <c r="E194" s="6" t="s">
        <v>114</v>
      </c>
      <c r="F194" s="36" t="s">
        <v>199</v>
      </c>
      <c r="G194" s="6" t="s">
        <v>52</v>
      </c>
      <c r="H194" s="19">
        <v>450000.0</v>
      </c>
      <c r="I194" s="34" t="s">
        <v>62</v>
      </c>
      <c r="J194" s="22">
        <v>850.0</v>
      </c>
      <c r="K194" s="22">
        <v>690.0</v>
      </c>
      <c r="L194" s="22">
        <v>6250.0</v>
      </c>
      <c r="M194" s="23">
        <v>0.6</v>
      </c>
      <c r="N194" s="24">
        <v>7.5</v>
      </c>
      <c r="O194" s="26" t="s">
        <v>29</v>
      </c>
      <c r="P194" s="26" t="s">
        <v>30</v>
      </c>
      <c r="Q194" s="27">
        <f t="shared" si="70"/>
        <v>7.352941176</v>
      </c>
      <c r="R194" s="23">
        <f t="shared" si="71"/>
        <v>0.1</v>
      </c>
      <c r="S194" s="27">
        <f t="shared" si="72"/>
        <v>8.088235294</v>
      </c>
      <c r="T194" s="6" t="s">
        <v>40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6.5" customHeight="1">
      <c r="A195" s="7" t="b">
        <v>0</v>
      </c>
      <c r="B195" s="6" t="s">
        <v>21</v>
      </c>
      <c r="C195" s="6" t="s">
        <v>508</v>
      </c>
      <c r="D195" s="6" t="s">
        <v>510</v>
      </c>
      <c r="E195" s="6" t="s">
        <v>171</v>
      </c>
      <c r="F195" s="32" t="s">
        <v>496</v>
      </c>
      <c r="G195" s="6" t="s">
        <v>52</v>
      </c>
      <c r="H195" s="19">
        <v>150000.0</v>
      </c>
      <c r="I195" s="34" t="s">
        <v>62</v>
      </c>
      <c r="J195" s="22">
        <v>550.0</v>
      </c>
      <c r="K195" s="22">
        <v>590.0</v>
      </c>
      <c r="L195" s="22">
        <v>2746.0</v>
      </c>
      <c r="M195" s="23">
        <v>0.54</v>
      </c>
      <c r="N195" s="24">
        <v>2.04</v>
      </c>
      <c r="O195" s="26" t="s">
        <v>71</v>
      </c>
      <c r="P195" s="26" t="s">
        <v>30</v>
      </c>
      <c r="Q195" s="27">
        <f t="shared" si="70"/>
        <v>4.992727273</v>
      </c>
      <c r="R195" s="23">
        <f t="shared" si="71"/>
        <v>0.04</v>
      </c>
      <c r="S195" s="27">
        <f t="shared" si="72"/>
        <v>5.192436364</v>
      </c>
      <c r="T195" s="6" t="s">
        <v>122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6.5" customHeight="1">
      <c r="A196" s="7" t="b">
        <v>0</v>
      </c>
      <c r="B196" s="6" t="s">
        <v>511</v>
      </c>
      <c r="C196" s="6" t="s">
        <v>508</v>
      </c>
      <c r="D196" s="6" t="s">
        <v>512</v>
      </c>
      <c r="E196" s="6" t="s">
        <v>74</v>
      </c>
      <c r="F196" s="36" t="s">
        <v>275</v>
      </c>
      <c r="G196" s="6" t="s">
        <v>52</v>
      </c>
      <c r="H196" s="19">
        <v>1.32E7</v>
      </c>
      <c r="I196" s="35" t="s">
        <v>76</v>
      </c>
      <c r="J196" s="22">
        <v>485.0</v>
      </c>
      <c r="K196" s="22">
        <v>475.0</v>
      </c>
      <c r="L196" s="22">
        <v>2682.0</v>
      </c>
      <c r="M196" s="23">
        <v>0.38</v>
      </c>
      <c r="N196" s="24">
        <v>7.0</v>
      </c>
      <c r="O196" s="26" t="s">
        <v>29</v>
      </c>
      <c r="P196" s="26" t="s">
        <v>77</v>
      </c>
      <c r="Q196" s="27">
        <f t="shared" si="70"/>
        <v>5.529896907</v>
      </c>
      <c r="R196" s="23">
        <f t="shared" si="71"/>
        <v>0.12</v>
      </c>
      <c r="S196" s="27">
        <f t="shared" si="72"/>
        <v>6.193484536</v>
      </c>
      <c r="T196" s="6" t="s">
        <v>40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6.5" customHeight="1">
      <c r="A197" s="7" t="b">
        <v>0</v>
      </c>
      <c r="B197" s="6" t="s">
        <v>180</v>
      </c>
      <c r="C197" s="6" t="s">
        <v>508</v>
      </c>
      <c r="D197" s="6" t="s">
        <v>513</v>
      </c>
      <c r="E197" s="6" t="s">
        <v>514</v>
      </c>
      <c r="F197" s="8" t="s">
        <v>515</v>
      </c>
      <c r="G197" s="6" t="s">
        <v>52</v>
      </c>
      <c r="H197" s="19">
        <v>450000.0</v>
      </c>
      <c r="I197" s="34" t="s">
        <v>62</v>
      </c>
      <c r="J197" s="22">
        <v>325.0</v>
      </c>
      <c r="K197" s="22">
        <v>400.0</v>
      </c>
      <c r="L197" s="22">
        <v>6500.0</v>
      </c>
      <c r="M197" s="23">
        <v>0.49</v>
      </c>
      <c r="N197" s="24">
        <v>2.7</v>
      </c>
      <c r="O197" s="26" t="s">
        <v>71</v>
      </c>
      <c r="P197" s="26" t="s">
        <v>30</v>
      </c>
      <c r="Q197" s="27">
        <f t="shared" si="70"/>
        <v>20</v>
      </c>
      <c r="R197" s="23">
        <f t="shared" si="71"/>
        <v>0.01</v>
      </c>
      <c r="S197" s="27">
        <f t="shared" si="72"/>
        <v>20.2</v>
      </c>
      <c r="T197" s="6" t="s">
        <v>40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6.5" customHeight="1">
      <c r="A198" s="7" t="b">
        <v>0</v>
      </c>
      <c r="B198" s="6" t="s">
        <v>21</v>
      </c>
      <c r="C198" s="6" t="s">
        <v>508</v>
      </c>
      <c r="D198" s="6" t="s">
        <v>516</v>
      </c>
      <c r="E198" s="6" t="s">
        <v>114</v>
      </c>
      <c r="F198" s="36" t="s">
        <v>81</v>
      </c>
      <c r="G198" s="6" t="s">
        <v>52</v>
      </c>
      <c r="H198" s="19">
        <v>75000.0</v>
      </c>
      <c r="I198" s="34" t="s">
        <v>62</v>
      </c>
      <c r="J198" s="22">
        <v>600.0</v>
      </c>
      <c r="K198" s="22">
        <v>558.0</v>
      </c>
      <c r="L198" s="22">
        <v>4500.0</v>
      </c>
      <c r="M198" s="23">
        <v>0.52</v>
      </c>
      <c r="N198" s="24">
        <v>7.0</v>
      </c>
      <c r="O198" s="26" t="s">
        <v>71</v>
      </c>
      <c r="P198" s="26" t="s">
        <v>30</v>
      </c>
      <c r="Q198" s="27">
        <f t="shared" si="70"/>
        <v>7.5</v>
      </c>
      <c r="R198" s="23">
        <f t="shared" si="71"/>
        <v>0.02</v>
      </c>
      <c r="S198" s="27">
        <f t="shared" si="72"/>
        <v>7.65</v>
      </c>
      <c r="T198" s="6" t="s">
        <v>122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6.5" customHeight="1">
      <c r="A199" s="7" t="b">
        <v>0</v>
      </c>
      <c r="B199" s="6" t="s">
        <v>54</v>
      </c>
      <c r="C199" s="6" t="s">
        <v>508</v>
      </c>
      <c r="D199" s="6" t="s">
        <v>517</v>
      </c>
      <c r="E199" s="6" t="s">
        <v>171</v>
      </c>
      <c r="F199" s="36" t="s">
        <v>518</v>
      </c>
      <c r="G199" s="6" t="s">
        <v>52</v>
      </c>
      <c r="H199" s="19">
        <v>415000.0</v>
      </c>
      <c r="I199" s="10" t="s">
        <v>27</v>
      </c>
      <c r="J199" s="22">
        <v>300.0</v>
      </c>
      <c r="K199" s="22">
        <v>332.0</v>
      </c>
      <c r="L199" s="22">
        <v>2802.0</v>
      </c>
      <c r="M199" s="23">
        <v>0.52</v>
      </c>
      <c r="N199" s="24">
        <v>2.0</v>
      </c>
      <c r="O199" s="26" t="s">
        <v>71</v>
      </c>
      <c r="P199" s="26" t="s">
        <v>30</v>
      </c>
      <c r="Q199" s="27">
        <f t="shared" si="70"/>
        <v>9.34</v>
      </c>
      <c r="R199" s="23">
        <f t="shared" si="71"/>
        <v>0.02</v>
      </c>
      <c r="S199" s="27">
        <f t="shared" si="72"/>
        <v>9.5268</v>
      </c>
      <c r="T199" s="6" t="s">
        <v>40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6.5" customHeight="1">
      <c r="A200" s="7" t="b">
        <v>0</v>
      </c>
      <c r="B200" s="6" t="s">
        <v>519</v>
      </c>
      <c r="C200" s="6" t="s">
        <v>508</v>
      </c>
      <c r="D200" s="6" t="s">
        <v>520</v>
      </c>
      <c r="E200" s="6" t="s">
        <v>46</v>
      </c>
      <c r="F200" s="25" t="s">
        <v>194</v>
      </c>
      <c r="G200" s="6" t="s">
        <v>52</v>
      </c>
      <c r="H200" s="19">
        <v>185000.0</v>
      </c>
      <c r="I200" s="34" t="s">
        <v>62</v>
      </c>
      <c r="J200" s="22">
        <v>255.0</v>
      </c>
      <c r="K200" s="22">
        <v>175.0</v>
      </c>
      <c r="L200" s="22">
        <v>2161.0</v>
      </c>
      <c r="M200" s="23">
        <v>0.5</v>
      </c>
      <c r="N200" s="24">
        <v>1.98</v>
      </c>
      <c r="O200" s="26" t="s">
        <v>29</v>
      </c>
      <c r="P200" s="26" t="s">
        <v>30</v>
      </c>
      <c r="Q200" s="27">
        <f t="shared" si="70"/>
        <v>8.474509804</v>
      </c>
      <c r="R200" s="23">
        <f t="shared" si="71"/>
        <v>0</v>
      </c>
      <c r="S200" s="27">
        <f t="shared" si="72"/>
        <v>8.474509804</v>
      </c>
      <c r="T200" s="6" t="s">
        <v>40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6.5" customHeight="1">
      <c r="A201" s="7" t="b">
        <v>0</v>
      </c>
      <c r="B201" s="6" t="s">
        <v>58</v>
      </c>
      <c r="C201" s="6" t="s">
        <v>508</v>
      </c>
      <c r="D201" s="6" t="s">
        <v>521</v>
      </c>
      <c r="E201" s="6" t="s">
        <v>374</v>
      </c>
      <c r="F201" s="8" t="s">
        <v>522</v>
      </c>
      <c r="G201" s="6" t="s">
        <v>52</v>
      </c>
      <c r="H201" s="19">
        <v>50000.0</v>
      </c>
      <c r="I201" s="34" t="s">
        <v>62</v>
      </c>
      <c r="J201" s="22">
        <v>418.0</v>
      </c>
      <c r="K201" s="22">
        <v>440.0</v>
      </c>
      <c r="L201" s="22">
        <v>5733.0</v>
      </c>
      <c r="M201" s="23">
        <v>0.56</v>
      </c>
      <c r="N201" s="24">
        <v>2.96</v>
      </c>
      <c r="O201" s="26" t="s">
        <v>71</v>
      </c>
      <c r="P201" s="26" t="s">
        <v>30</v>
      </c>
      <c r="Q201" s="27">
        <f t="shared" si="70"/>
        <v>13.715311</v>
      </c>
      <c r="R201" s="23">
        <f t="shared" si="71"/>
        <v>0.06</v>
      </c>
      <c r="S201" s="27">
        <f t="shared" si="72"/>
        <v>14.53822967</v>
      </c>
      <c r="T201" s="6" t="s">
        <v>40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6.5" customHeight="1">
      <c r="A202" s="7" t="b">
        <v>0</v>
      </c>
      <c r="B202" s="6" t="s">
        <v>238</v>
      </c>
      <c r="C202" s="6" t="s">
        <v>508</v>
      </c>
      <c r="D202" s="6" t="s">
        <v>523</v>
      </c>
      <c r="E202" s="6" t="s">
        <v>221</v>
      </c>
      <c r="F202" s="17" t="s">
        <v>524</v>
      </c>
      <c r="G202" s="6" t="s">
        <v>52</v>
      </c>
      <c r="H202" s="19">
        <v>69000.0</v>
      </c>
      <c r="I202" s="10" t="s">
        <v>27</v>
      </c>
      <c r="J202" s="22">
        <v>148.0</v>
      </c>
      <c r="K202" s="22">
        <v>187.0</v>
      </c>
      <c r="L202" s="22">
        <v>2315.0</v>
      </c>
      <c r="M202" s="23">
        <v>0.53</v>
      </c>
      <c r="N202" s="24">
        <v>3.09</v>
      </c>
      <c r="O202" s="26" t="s">
        <v>29</v>
      </c>
      <c r="P202" s="26" t="s">
        <v>30</v>
      </c>
      <c r="Q202" s="27">
        <f t="shared" si="70"/>
        <v>15.64189189</v>
      </c>
      <c r="R202" s="23">
        <f t="shared" si="71"/>
        <v>0.03</v>
      </c>
      <c r="S202" s="27">
        <f t="shared" si="72"/>
        <v>16.11114865</v>
      </c>
      <c r="T202" s="6" t="s">
        <v>40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6.5" customHeight="1">
      <c r="A203" s="7" t="b">
        <v>0</v>
      </c>
      <c r="B203" s="6" t="s">
        <v>217</v>
      </c>
      <c r="C203" s="6" t="s">
        <v>508</v>
      </c>
      <c r="D203" s="6" t="s">
        <v>525</v>
      </c>
      <c r="E203" s="6" t="s">
        <v>302</v>
      </c>
      <c r="F203" s="17" t="s">
        <v>526</v>
      </c>
      <c r="G203" s="6" t="s">
        <v>52</v>
      </c>
      <c r="H203" s="19">
        <v>15000.0</v>
      </c>
      <c r="I203" s="20" t="s">
        <v>33</v>
      </c>
      <c r="J203" s="22">
        <v>250.0</v>
      </c>
      <c r="K203" s="22">
        <v>297.0</v>
      </c>
      <c r="L203" s="22">
        <v>4057.0</v>
      </c>
      <c r="M203" s="23">
        <v>0.55</v>
      </c>
      <c r="N203" s="24">
        <v>4.61</v>
      </c>
      <c r="O203" s="26" t="s">
        <v>29</v>
      </c>
      <c r="P203" s="26" t="s">
        <v>30</v>
      </c>
      <c r="Q203" s="27">
        <f t="shared" si="70"/>
        <v>16.228</v>
      </c>
      <c r="R203" s="23">
        <f t="shared" si="71"/>
        <v>0.05</v>
      </c>
      <c r="S203" s="27">
        <f t="shared" si="72"/>
        <v>17.0394</v>
      </c>
      <c r="T203" s="6" t="s">
        <v>40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6.5" customHeight="1">
      <c r="A204" s="7" t="b">
        <v>0</v>
      </c>
      <c r="B204" s="6" t="s">
        <v>527</v>
      </c>
      <c r="C204" s="6" t="s">
        <v>508</v>
      </c>
      <c r="D204" s="6" t="s">
        <v>528</v>
      </c>
      <c r="E204" s="6" t="s">
        <v>325</v>
      </c>
      <c r="F204" s="17" t="s">
        <v>32</v>
      </c>
      <c r="G204" s="6" t="s">
        <v>52</v>
      </c>
      <c r="H204" s="19">
        <v>36000.0</v>
      </c>
      <c r="I204" s="20" t="s">
        <v>33</v>
      </c>
      <c r="J204" s="22">
        <v>65.0</v>
      </c>
      <c r="K204" s="22">
        <v>130.0</v>
      </c>
      <c r="L204" s="22">
        <v>2398.0</v>
      </c>
      <c r="M204" s="23">
        <v>0.54</v>
      </c>
      <c r="N204" s="24">
        <v>3.62</v>
      </c>
      <c r="O204" s="26" t="s">
        <v>29</v>
      </c>
      <c r="P204" s="26" t="s">
        <v>30</v>
      </c>
      <c r="Q204" s="27">
        <f t="shared" si="70"/>
        <v>36.89230769</v>
      </c>
      <c r="R204" s="23">
        <f t="shared" si="71"/>
        <v>0.04</v>
      </c>
      <c r="S204" s="27">
        <f t="shared" si="72"/>
        <v>38.368</v>
      </c>
      <c r="T204" s="6" t="s">
        <v>40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6.5" customHeight="1">
      <c r="A205" s="7" t="b">
        <v>0</v>
      </c>
      <c r="B205" s="6" t="s">
        <v>66</v>
      </c>
      <c r="C205" s="6" t="s">
        <v>508</v>
      </c>
      <c r="D205" s="6" t="s">
        <v>529</v>
      </c>
      <c r="E205" s="6" t="s">
        <v>215</v>
      </c>
      <c r="F205" s="8" t="s">
        <v>530</v>
      </c>
      <c r="G205" s="6" t="s">
        <v>52</v>
      </c>
      <c r="H205" s="19">
        <v>65000.0</v>
      </c>
      <c r="I205" s="10" t="s">
        <v>27</v>
      </c>
      <c r="J205" s="22">
        <v>224.0</v>
      </c>
      <c r="K205" s="22">
        <v>224.0</v>
      </c>
      <c r="L205" s="22">
        <v>2811.0</v>
      </c>
      <c r="M205" s="23">
        <v>0.56</v>
      </c>
      <c r="N205" s="24">
        <v>1.99</v>
      </c>
      <c r="O205" s="26" t="s">
        <v>71</v>
      </c>
      <c r="P205" s="26" t="s">
        <v>30</v>
      </c>
      <c r="Q205" s="27">
        <f t="shared" si="70"/>
        <v>12.54910714</v>
      </c>
      <c r="R205" s="23">
        <f t="shared" si="71"/>
        <v>0.06</v>
      </c>
      <c r="S205" s="27">
        <f t="shared" si="72"/>
        <v>13.30205357</v>
      </c>
      <c r="T205" s="6" t="s">
        <v>40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6.5" customHeight="1">
      <c r="A206" s="7" t="b">
        <v>0</v>
      </c>
      <c r="B206" s="5" t="s">
        <v>58</v>
      </c>
      <c r="C206" s="5" t="s">
        <v>508</v>
      </c>
      <c r="D206" s="5" t="s">
        <v>531</v>
      </c>
      <c r="E206" s="5" t="s">
        <v>374</v>
      </c>
      <c r="F206" s="8" t="s">
        <v>532</v>
      </c>
      <c r="G206" s="5" t="s">
        <v>52</v>
      </c>
      <c r="H206" s="9">
        <v>250000.0</v>
      </c>
      <c r="I206" s="34" t="s">
        <v>62</v>
      </c>
      <c r="J206" s="9"/>
      <c r="K206" s="9"/>
      <c r="L206" s="9"/>
      <c r="M206" s="28"/>
      <c r="N206" s="29"/>
      <c r="O206" s="30"/>
      <c r="P206" s="30"/>
      <c r="Q206" s="16"/>
      <c r="R206" s="18"/>
      <c r="S206" s="16"/>
      <c r="T206" s="5" t="s">
        <v>129</v>
      </c>
      <c r="U206" s="21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6.5" customHeight="1">
      <c r="A207" s="7" t="b">
        <v>0</v>
      </c>
      <c r="B207" s="6" t="s">
        <v>48</v>
      </c>
      <c r="C207" s="6" t="s">
        <v>508</v>
      </c>
      <c r="D207" s="6" t="s">
        <v>533</v>
      </c>
      <c r="E207" s="6" t="s">
        <v>374</v>
      </c>
      <c r="F207" s="25" t="s">
        <v>534</v>
      </c>
      <c r="G207" s="6" t="s">
        <v>52</v>
      </c>
      <c r="H207" s="19">
        <v>110000.0</v>
      </c>
      <c r="I207" s="34" t="s">
        <v>62</v>
      </c>
      <c r="J207" s="22">
        <v>700.0</v>
      </c>
      <c r="K207" s="22">
        <v>640.0</v>
      </c>
      <c r="L207" s="22">
        <v>6077.0</v>
      </c>
      <c r="M207" s="23">
        <v>0.58</v>
      </c>
      <c r="N207" s="24">
        <v>5.16</v>
      </c>
      <c r="O207" s="26" t="s">
        <v>71</v>
      </c>
      <c r="P207" s="26" t="s">
        <v>30</v>
      </c>
      <c r="Q207" s="27">
        <f t="shared" ref="Q207:Q208" si="73">L207/J207</f>
        <v>8.681428571</v>
      </c>
      <c r="R207" s="23">
        <f t="shared" ref="R207:R208" si="74">0+((ABS(0.5-M207)*1))</f>
        <v>0.08</v>
      </c>
      <c r="S207" s="27">
        <f t="shared" ref="S207:S208" si="75">Q207*(R207+1)</f>
        <v>9.375942857</v>
      </c>
      <c r="T207" s="6" t="s">
        <v>40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6.5" customHeight="1">
      <c r="A208" s="7" t="b">
        <v>0</v>
      </c>
      <c r="B208" s="37" t="s">
        <v>48</v>
      </c>
      <c r="C208" s="37" t="s">
        <v>508</v>
      </c>
      <c r="D208" s="37" t="s">
        <v>535</v>
      </c>
      <c r="E208" s="37" t="s">
        <v>374</v>
      </c>
      <c r="F208" s="25" t="s">
        <v>536</v>
      </c>
      <c r="G208" s="37" t="s">
        <v>52</v>
      </c>
      <c r="H208" s="38">
        <v>50000.0</v>
      </c>
      <c r="I208" s="35" t="s">
        <v>76</v>
      </c>
      <c r="J208" s="46">
        <v>700.0</v>
      </c>
      <c r="K208" s="46">
        <v>640.0</v>
      </c>
      <c r="L208" s="46">
        <v>6077.0</v>
      </c>
      <c r="M208" s="45">
        <v>0.58</v>
      </c>
      <c r="N208" s="47">
        <v>5.16</v>
      </c>
      <c r="O208" s="43" t="s">
        <v>71</v>
      </c>
      <c r="P208" s="43" t="s">
        <v>30</v>
      </c>
      <c r="Q208" s="44">
        <f t="shared" si="73"/>
        <v>8.681428571</v>
      </c>
      <c r="R208" s="45">
        <f t="shared" si="74"/>
        <v>0.08</v>
      </c>
      <c r="S208" s="44">
        <f t="shared" si="75"/>
        <v>9.375942857</v>
      </c>
      <c r="T208" s="37" t="s">
        <v>88</v>
      </c>
      <c r="U208" s="37" t="s">
        <v>278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6.5" customHeight="1">
      <c r="A209" s="7" t="b">
        <v>0</v>
      </c>
      <c r="B209" s="5" t="s">
        <v>146</v>
      </c>
      <c r="C209" s="5" t="s">
        <v>508</v>
      </c>
      <c r="D209" s="5" t="s">
        <v>537</v>
      </c>
      <c r="E209" s="5" t="s">
        <v>374</v>
      </c>
      <c r="F209" s="8" t="s">
        <v>265</v>
      </c>
      <c r="G209" s="5" t="s">
        <v>52</v>
      </c>
      <c r="H209" s="9">
        <v>250000.0</v>
      </c>
      <c r="I209" s="20" t="s">
        <v>33</v>
      </c>
      <c r="J209" s="9"/>
      <c r="K209" s="9"/>
      <c r="L209" s="9"/>
      <c r="M209" s="28"/>
      <c r="N209" s="29"/>
      <c r="O209" s="30"/>
      <c r="P209" s="30"/>
      <c r="Q209" s="16"/>
      <c r="R209" s="18"/>
      <c r="S209" s="16"/>
      <c r="T209" s="5" t="s">
        <v>34</v>
      </c>
      <c r="U209" s="21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6.5" customHeight="1">
      <c r="A210" s="7" t="b">
        <v>0</v>
      </c>
      <c r="B210" s="6" t="s">
        <v>168</v>
      </c>
      <c r="C210" s="6" t="s">
        <v>508</v>
      </c>
      <c r="D210" s="6" t="s">
        <v>538</v>
      </c>
      <c r="E210" s="6" t="s">
        <v>374</v>
      </c>
      <c r="F210" s="17" t="s">
        <v>539</v>
      </c>
      <c r="G210" s="6" t="s">
        <v>52</v>
      </c>
      <c r="H210" s="19">
        <v>45000.0</v>
      </c>
      <c r="I210" s="20" t="s">
        <v>33</v>
      </c>
      <c r="J210" s="22">
        <v>185.0</v>
      </c>
      <c r="K210" s="22">
        <v>270.0</v>
      </c>
      <c r="L210" s="22">
        <v>3805.0</v>
      </c>
      <c r="M210" s="23">
        <v>0.62</v>
      </c>
      <c r="N210" s="24">
        <v>4.94</v>
      </c>
      <c r="O210" s="26" t="s">
        <v>71</v>
      </c>
      <c r="P210" s="26" t="s">
        <v>30</v>
      </c>
      <c r="Q210" s="27">
        <f>L210/J210</f>
        <v>20.56756757</v>
      </c>
      <c r="R210" s="23">
        <f>0+((ABS(0.5-M210)*1))</f>
        <v>0.12</v>
      </c>
      <c r="S210" s="27">
        <f>Q210*(R210+1)</f>
        <v>23.03567568</v>
      </c>
      <c r="T210" s="6" t="s">
        <v>40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6.5" customHeight="1">
      <c r="A211" s="7" t="b">
        <v>0</v>
      </c>
      <c r="B211" s="5" t="s">
        <v>168</v>
      </c>
      <c r="C211" s="5" t="s">
        <v>508</v>
      </c>
      <c r="D211" s="5" t="s">
        <v>540</v>
      </c>
      <c r="E211" s="5" t="s">
        <v>394</v>
      </c>
      <c r="F211" s="50" t="s">
        <v>541</v>
      </c>
      <c r="G211" s="5" t="s">
        <v>52</v>
      </c>
      <c r="H211" s="9">
        <v>500000.0</v>
      </c>
      <c r="I211" s="53" t="s">
        <v>430</v>
      </c>
      <c r="J211" s="9"/>
      <c r="K211" s="9"/>
      <c r="L211" s="9"/>
      <c r="M211" s="28"/>
      <c r="N211" s="29"/>
      <c r="O211" s="30"/>
      <c r="P211" s="30"/>
      <c r="Q211" s="16"/>
      <c r="R211" s="18"/>
      <c r="S211" s="16"/>
      <c r="T211" s="5" t="s">
        <v>129</v>
      </c>
      <c r="U211" s="21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6.5" customHeight="1">
      <c r="A212" s="7" t="b">
        <v>0</v>
      </c>
      <c r="B212" s="6" t="s">
        <v>48</v>
      </c>
      <c r="C212" s="6" t="s">
        <v>508</v>
      </c>
      <c r="D212" s="6" t="s">
        <v>542</v>
      </c>
      <c r="E212" s="6" t="s">
        <v>43</v>
      </c>
      <c r="F212" s="8" t="s">
        <v>532</v>
      </c>
      <c r="G212" s="6" t="s">
        <v>52</v>
      </c>
      <c r="H212" s="19">
        <v>26000.0</v>
      </c>
      <c r="I212" s="20" t="s">
        <v>33</v>
      </c>
      <c r="J212" s="22">
        <v>197.0</v>
      </c>
      <c r="K212" s="22">
        <v>236.0</v>
      </c>
      <c r="L212" s="22">
        <v>2657.0</v>
      </c>
      <c r="M212" s="23">
        <v>0.63</v>
      </c>
      <c r="N212" s="24">
        <v>1.5</v>
      </c>
      <c r="O212" s="26" t="s">
        <v>30</v>
      </c>
      <c r="P212" s="26" t="s">
        <v>30</v>
      </c>
      <c r="Q212" s="27">
        <f t="shared" ref="Q212:Q217" si="76">L212/J212</f>
        <v>13.48730964</v>
      </c>
      <c r="R212" s="23">
        <f t="shared" ref="R212:R217" si="77">0+((ABS(0.5-M212)*1))</f>
        <v>0.13</v>
      </c>
      <c r="S212" s="27">
        <f t="shared" ref="S212:S217" si="78">Q212*(R212+1)</f>
        <v>15.2406599</v>
      </c>
      <c r="T212" s="6" t="s">
        <v>40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6.5" customHeight="1">
      <c r="A213" s="7" t="b">
        <v>0</v>
      </c>
      <c r="B213" s="6" t="s">
        <v>146</v>
      </c>
      <c r="C213" s="6" t="s">
        <v>508</v>
      </c>
      <c r="D213" s="6" t="s">
        <v>543</v>
      </c>
      <c r="E213" s="6" t="s">
        <v>56</v>
      </c>
      <c r="F213" s="8" t="s">
        <v>51</v>
      </c>
      <c r="G213" s="6" t="s">
        <v>52</v>
      </c>
      <c r="H213" s="19">
        <v>35000.0</v>
      </c>
      <c r="I213" s="20" t="s">
        <v>33</v>
      </c>
      <c r="J213" s="22">
        <v>212.0</v>
      </c>
      <c r="K213" s="22">
        <v>228.0</v>
      </c>
      <c r="L213" s="22">
        <v>2822.0</v>
      </c>
      <c r="M213" s="23">
        <v>0.63</v>
      </c>
      <c r="N213" s="24">
        <v>1.99</v>
      </c>
      <c r="O213" s="26" t="s">
        <v>30</v>
      </c>
      <c r="P213" s="26" t="s">
        <v>30</v>
      </c>
      <c r="Q213" s="27">
        <f t="shared" si="76"/>
        <v>13.31132075</v>
      </c>
      <c r="R213" s="23">
        <f t="shared" si="77"/>
        <v>0.13</v>
      </c>
      <c r="S213" s="27">
        <f t="shared" si="78"/>
        <v>15.04179245</v>
      </c>
      <c r="T213" s="6" t="s">
        <v>40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6.5" customHeight="1">
      <c r="A214" s="7" t="b">
        <v>0</v>
      </c>
      <c r="B214" s="6" t="s">
        <v>177</v>
      </c>
      <c r="C214" s="6" t="s">
        <v>508</v>
      </c>
      <c r="D214" s="6" t="s">
        <v>543</v>
      </c>
      <c r="E214" s="6" t="s">
        <v>189</v>
      </c>
      <c r="F214" s="25" t="s">
        <v>544</v>
      </c>
      <c r="G214" s="6" t="s">
        <v>52</v>
      </c>
      <c r="H214" s="19">
        <v>52000.0</v>
      </c>
      <c r="I214" s="34" t="s">
        <v>62</v>
      </c>
      <c r="J214" s="22">
        <v>300.0</v>
      </c>
      <c r="K214" s="22">
        <v>319.0</v>
      </c>
      <c r="L214" s="22">
        <v>3236.0</v>
      </c>
      <c r="M214" s="23">
        <v>0.62</v>
      </c>
      <c r="N214" s="24">
        <v>2.52</v>
      </c>
      <c r="O214" s="26" t="s">
        <v>30</v>
      </c>
      <c r="P214" s="26" t="s">
        <v>30</v>
      </c>
      <c r="Q214" s="27">
        <f t="shared" si="76"/>
        <v>10.78666667</v>
      </c>
      <c r="R214" s="23">
        <f t="shared" si="77"/>
        <v>0.12</v>
      </c>
      <c r="S214" s="27">
        <f t="shared" si="78"/>
        <v>12.08106667</v>
      </c>
      <c r="T214" s="6" t="s">
        <v>72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6.5" customHeight="1">
      <c r="A215" s="7" t="b">
        <v>0</v>
      </c>
      <c r="B215" s="6" t="s">
        <v>21</v>
      </c>
      <c r="C215" s="6" t="s">
        <v>508</v>
      </c>
      <c r="D215" s="6" t="s">
        <v>543</v>
      </c>
      <c r="E215" s="6" t="s">
        <v>189</v>
      </c>
      <c r="F215" s="25" t="s">
        <v>475</v>
      </c>
      <c r="G215" s="6" t="s">
        <v>52</v>
      </c>
      <c r="H215" s="19">
        <v>37000.0</v>
      </c>
      <c r="I215" s="34" t="s">
        <v>62</v>
      </c>
      <c r="J215" s="22">
        <v>350.0</v>
      </c>
      <c r="K215" s="22">
        <v>350.0</v>
      </c>
      <c r="L215" s="22">
        <v>3446.0</v>
      </c>
      <c r="M215" s="23">
        <v>0.59</v>
      </c>
      <c r="N215" s="24">
        <v>2.26</v>
      </c>
      <c r="O215" s="26" t="s">
        <v>71</v>
      </c>
      <c r="P215" s="26" t="s">
        <v>30</v>
      </c>
      <c r="Q215" s="27">
        <f t="shared" si="76"/>
        <v>9.845714286</v>
      </c>
      <c r="R215" s="23">
        <f t="shared" si="77"/>
        <v>0.09</v>
      </c>
      <c r="S215" s="27">
        <f t="shared" si="78"/>
        <v>10.73182857</v>
      </c>
      <c r="T215" s="6" t="s">
        <v>122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6.5" customHeight="1">
      <c r="A216" s="7" t="b">
        <v>0</v>
      </c>
      <c r="B216" s="6" t="s">
        <v>58</v>
      </c>
      <c r="C216" s="6" t="s">
        <v>508</v>
      </c>
      <c r="D216" s="6" t="s">
        <v>545</v>
      </c>
      <c r="E216" s="6" t="s">
        <v>43</v>
      </c>
      <c r="F216" s="25" t="s">
        <v>546</v>
      </c>
      <c r="G216" s="6" t="s">
        <v>52</v>
      </c>
      <c r="H216" s="19">
        <v>34000.0</v>
      </c>
      <c r="I216" s="20" t="s">
        <v>33</v>
      </c>
      <c r="J216" s="22">
        <v>276.0</v>
      </c>
      <c r="K216" s="22">
        <v>310.0</v>
      </c>
      <c r="L216" s="22">
        <v>3168.0</v>
      </c>
      <c r="M216" s="23">
        <v>0.61</v>
      </c>
      <c r="N216" s="24">
        <v>2.26</v>
      </c>
      <c r="O216" s="26" t="s">
        <v>30</v>
      </c>
      <c r="P216" s="26" t="s">
        <v>30</v>
      </c>
      <c r="Q216" s="27">
        <f t="shared" si="76"/>
        <v>11.47826087</v>
      </c>
      <c r="R216" s="23">
        <f t="shared" si="77"/>
        <v>0.11</v>
      </c>
      <c r="S216" s="27">
        <f t="shared" si="78"/>
        <v>12.74086957</v>
      </c>
      <c r="T216" s="6" t="s">
        <v>40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6.5" customHeight="1">
      <c r="A217" s="7" t="b">
        <v>0</v>
      </c>
      <c r="B217" s="6" t="s">
        <v>79</v>
      </c>
      <c r="C217" s="6" t="s">
        <v>508</v>
      </c>
      <c r="D217" s="6" t="s">
        <v>547</v>
      </c>
      <c r="E217" s="6" t="s">
        <v>366</v>
      </c>
      <c r="F217" s="25" t="s">
        <v>548</v>
      </c>
      <c r="G217" s="6" t="s">
        <v>52</v>
      </c>
      <c r="H217" s="19">
        <v>40000.0</v>
      </c>
      <c r="I217" s="20" t="s">
        <v>33</v>
      </c>
      <c r="J217" s="22">
        <v>422.0</v>
      </c>
      <c r="K217" s="22">
        <v>402.0</v>
      </c>
      <c r="L217" s="22">
        <v>3946.0</v>
      </c>
      <c r="M217" s="23">
        <v>0.53</v>
      </c>
      <c r="N217" s="24">
        <v>4.95</v>
      </c>
      <c r="O217" s="26" t="s">
        <v>29</v>
      </c>
      <c r="P217" s="26" t="s">
        <v>30</v>
      </c>
      <c r="Q217" s="27">
        <f t="shared" si="76"/>
        <v>9.3507109</v>
      </c>
      <c r="R217" s="23">
        <f t="shared" si="77"/>
        <v>0.03</v>
      </c>
      <c r="S217" s="27">
        <f t="shared" si="78"/>
        <v>9.631232227</v>
      </c>
      <c r="T217" s="6" t="s">
        <v>40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6.5" customHeight="1">
      <c r="A218" s="7" t="b">
        <v>0</v>
      </c>
      <c r="B218" s="5" t="s">
        <v>268</v>
      </c>
      <c r="C218" s="5" t="s">
        <v>508</v>
      </c>
      <c r="D218" s="5" t="s">
        <v>549</v>
      </c>
      <c r="E218" s="5" t="s">
        <v>253</v>
      </c>
      <c r="F218" s="36" t="s">
        <v>550</v>
      </c>
      <c r="G218" s="5" t="s">
        <v>52</v>
      </c>
      <c r="H218" s="9">
        <v>585000.0</v>
      </c>
      <c r="I218" s="35" t="s">
        <v>255</v>
      </c>
      <c r="J218" s="9"/>
      <c r="K218" s="9"/>
      <c r="L218" s="9"/>
      <c r="M218" s="28"/>
      <c r="N218" s="29"/>
      <c r="O218" s="30"/>
      <c r="P218" s="30"/>
      <c r="Q218" s="16"/>
      <c r="R218" s="18"/>
      <c r="S218" s="16"/>
      <c r="T218" s="5" t="s">
        <v>256</v>
      </c>
      <c r="U218" s="21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6.5" customHeight="1">
      <c r="A219" s="7" t="b">
        <v>0</v>
      </c>
      <c r="B219" s="6" t="s">
        <v>21</v>
      </c>
      <c r="C219" s="6" t="s">
        <v>508</v>
      </c>
      <c r="D219" s="6" t="s">
        <v>549</v>
      </c>
      <c r="E219" s="6" t="s">
        <v>60</v>
      </c>
      <c r="F219" s="32" t="s">
        <v>551</v>
      </c>
      <c r="G219" s="6" t="s">
        <v>52</v>
      </c>
      <c r="H219" s="19">
        <v>500000.0</v>
      </c>
      <c r="I219" s="34" t="s">
        <v>62</v>
      </c>
      <c r="J219" s="22">
        <v>630.0</v>
      </c>
      <c r="K219" s="22">
        <v>539.0</v>
      </c>
      <c r="L219" s="22">
        <v>3353.0</v>
      </c>
      <c r="M219" s="23">
        <v>0.43</v>
      </c>
      <c r="N219" s="24">
        <v>3.5</v>
      </c>
      <c r="O219" s="26" t="s">
        <v>29</v>
      </c>
      <c r="P219" s="26" t="s">
        <v>77</v>
      </c>
      <c r="Q219" s="27">
        <f>L219/J219</f>
        <v>5.322222222</v>
      </c>
      <c r="R219" s="23">
        <f>0+((ABS(0.5-M219)*1))</f>
        <v>0.07</v>
      </c>
      <c r="S219" s="27">
        <f>Q219*(R219+1)</f>
        <v>5.694777778</v>
      </c>
      <c r="T219" s="6" t="s">
        <v>40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6.5" customHeight="1">
      <c r="A220" s="7" t="b">
        <v>0</v>
      </c>
      <c r="B220" s="5" t="s">
        <v>21</v>
      </c>
      <c r="C220" s="5" t="s">
        <v>508</v>
      </c>
      <c r="D220" s="5" t="s">
        <v>552</v>
      </c>
      <c r="E220" s="5" t="s">
        <v>171</v>
      </c>
      <c r="F220" s="32" t="s">
        <v>395</v>
      </c>
      <c r="G220" s="5" t="s">
        <v>52</v>
      </c>
      <c r="H220" s="9"/>
      <c r="I220" s="48"/>
      <c r="J220" s="9"/>
      <c r="K220" s="9"/>
      <c r="L220" s="9"/>
      <c r="M220" s="28"/>
      <c r="N220" s="29"/>
      <c r="O220" s="30"/>
      <c r="P220" s="30"/>
      <c r="Q220" s="16"/>
      <c r="R220" s="18"/>
      <c r="S220" s="16"/>
      <c r="T220" s="5" t="s">
        <v>129</v>
      </c>
      <c r="U220" s="21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6.5" customHeight="1">
      <c r="A221" s="7" t="b">
        <v>0</v>
      </c>
      <c r="B221" s="6" t="s">
        <v>329</v>
      </c>
      <c r="C221" s="6" t="s">
        <v>508</v>
      </c>
      <c r="D221" s="6" t="s">
        <v>553</v>
      </c>
      <c r="E221" s="6" t="s">
        <v>331</v>
      </c>
      <c r="F221" s="8" t="s">
        <v>554</v>
      </c>
      <c r="G221" s="6" t="s">
        <v>52</v>
      </c>
      <c r="H221" s="19">
        <v>75000.0</v>
      </c>
      <c r="I221" s="10" t="s">
        <v>27</v>
      </c>
      <c r="J221" s="22">
        <v>290.0</v>
      </c>
      <c r="K221" s="22">
        <v>290.0</v>
      </c>
      <c r="L221" s="22">
        <v>3250.0</v>
      </c>
      <c r="M221" s="23">
        <v>0.56</v>
      </c>
      <c r="N221" s="24">
        <v>4.94</v>
      </c>
      <c r="O221" s="26" t="s">
        <v>29</v>
      </c>
      <c r="P221" s="26" t="s">
        <v>30</v>
      </c>
      <c r="Q221" s="27">
        <f t="shared" ref="Q221:Q224" si="79">L221/J221</f>
        <v>11.20689655</v>
      </c>
      <c r="R221" s="23">
        <f t="shared" ref="R221:R224" si="80">0+((ABS(0.5-M221)*1))</f>
        <v>0.06</v>
      </c>
      <c r="S221" s="27">
        <f t="shared" ref="S221:S224" si="81">Q221*(R221+1)</f>
        <v>11.87931034</v>
      </c>
      <c r="T221" s="6" t="s">
        <v>40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6.5" customHeight="1">
      <c r="A222" s="7" t="b">
        <v>0</v>
      </c>
      <c r="B222" s="6" t="s">
        <v>292</v>
      </c>
      <c r="C222" s="6" t="s">
        <v>508</v>
      </c>
      <c r="D222" s="6" t="s">
        <v>555</v>
      </c>
      <c r="E222" s="6" t="s">
        <v>306</v>
      </c>
      <c r="F222" s="36" t="s">
        <v>556</v>
      </c>
      <c r="G222" s="6" t="s">
        <v>52</v>
      </c>
      <c r="H222" s="19">
        <v>59000.0</v>
      </c>
      <c r="I222" s="34" t="s">
        <v>62</v>
      </c>
      <c r="J222" s="22">
        <v>500.0</v>
      </c>
      <c r="K222" s="22">
        <v>418.0</v>
      </c>
      <c r="L222" s="22">
        <v>3949.0</v>
      </c>
      <c r="M222" s="23">
        <v>0.54</v>
      </c>
      <c r="N222" s="24">
        <v>5.04</v>
      </c>
      <c r="O222" s="26" t="s">
        <v>29</v>
      </c>
      <c r="P222" s="26" t="s">
        <v>30</v>
      </c>
      <c r="Q222" s="27">
        <f t="shared" si="79"/>
        <v>7.898</v>
      </c>
      <c r="R222" s="23">
        <f t="shared" si="80"/>
        <v>0.04</v>
      </c>
      <c r="S222" s="27">
        <f t="shared" si="81"/>
        <v>8.21392</v>
      </c>
      <c r="T222" s="6" t="s">
        <v>122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6.5" customHeight="1">
      <c r="A223" s="7" t="b">
        <v>0</v>
      </c>
      <c r="B223" s="6" t="s">
        <v>292</v>
      </c>
      <c r="C223" s="6" t="s">
        <v>508</v>
      </c>
      <c r="D223" s="6" t="s">
        <v>557</v>
      </c>
      <c r="E223" s="6" t="s">
        <v>306</v>
      </c>
      <c r="F223" s="36" t="s">
        <v>422</v>
      </c>
      <c r="G223" s="6" t="s">
        <v>52</v>
      </c>
      <c r="H223" s="19">
        <v>45000.0</v>
      </c>
      <c r="I223" s="34" t="s">
        <v>62</v>
      </c>
      <c r="J223" s="22">
        <v>486.0</v>
      </c>
      <c r="K223" s="22">
        <v>418.0</v>
      </c>
      <c r="L223" s="22">
        <v>3827.0</v>
      </c>
      <c r="M223" s="23">
        <v>0.53</v>
      </c>
      <c r="N223" s="24">
        <v>5.04</v>
      </c>
      <c r="O223" s="26" t="s">
        <v>29</v>
      </c>
      <c r="P223" s="26" t="s">
        <v>30</v>
      </c>
      <c r="Q223" s="27">
        <f t="shared" si="79"/>
        <v>7.874485597</v>
      </c>
      <c r="R223" s="23">
        <f t="shared" si="80"/>
        <v>0.03</v>
      </c>
      <c r="S223" s="27">
        <f t="shared" si="81"/>
        <v>8.110720165</v>
      </c>
      <c r="T223" s="6" t="s">
        <v>40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6.5" customHeight="1">
      <c r="A224" s="7" t="b">
        <v>0</v>
      </c>
      <c r="B224" s="6" t="s">
        <v>36</v>
      </c>
      <c r="C224" s="6" t="s">
        <v>508</v>
      </c>
      <c r="D224" s="6" t="s">
        <v>558</v>
      </c>
      <c r="E224" s="6" t="s">
        <v>331</v>
      </c>
      <c r="F224" s="17" t="s">
        <v>524</v>
      </c>
      <c r="G224" s="6" t="s">
        <v>52</v>
      </c>
      <c r="H224" s="19">
        <v>119000.0</v>
      </c>
      <c r="I224" s="35" t="s">
        <v>76</v>
      </c>
      <c r="J224" s="22">
        <v>325.0</v>
      </c>
      <c r="K224" s="22">
        <v>427.0</v>
      </c>
      <c r="L224" s="22">
        <v>3548.0</v>
      </c>
      <c r="M224" s="23">
        <v>0.57</v>
      </c>
      <c r="N224" s="24">
        <v>6.38</v>
      </c>
      <c r="O224" s="26" t="s">
        <v>29</v>
      </c>
      <c r="P224" s="26" t="s">
        <v>30</v>
      </c>
      <c r="Q224" s="27">
        <f t="shared" si="79"/>
        <v>10.91692308</v>
      </c>
      <c r="R224" s="23">
        <f t="shared" si="80"/>
        <v>0.07</v>
      </c>
      <c r="S224" s="27">
        <f t="shared" si="81"/>
        <v>11.68110769</v>
      </c>
      <c r="T224" s="6" t="s">
        <v>40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6.5" customHeight="1">
      <c r="A225" s="7" t="b">
        <v>0</v>
      </c>
      <c r="B225" s="5" t="s">
        <v>36</v>
      </c>
      <c r="C225" s="5" t="s">
        <v>508</v>
      </c>
      <c r="D225" s="5" t="s">
        <v>559</v>
      </c>
      <c r="E225" s="5" t="s">
        <v>394</v>
      </c>
      <c r="F225" s="36" t="s">
        <v>262</v>
      </c>
      <c r="G225" s="5" t="s">
        <v>52</v>
      </c>
      <c r="H225" s="9"/>
      <c r="I225" s="48"/>
      <c r="J225" s="9"/>
      <c r="K225" s="9"/>
      <c r="L225" s="9"/>
      <c r="M225" s="28"/>
      <c r="N225" s="29"/>
      <c r="O225" s="30"/>
      <c r="P225" s="30"/>
      <c r="Q225" s="16"/>
      <c r="R225" s="18"/>
      <c r="S225" s="16"/>
      <c r="T225" s="5" t="s">
        <v>129</v>
      </c>
      <c r="U225" s="21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6.5" customHeight="1">
      <c r="A226" s="7" t="b">
        <v>0</v>
      </c>
      <c r="B226" s="6" t="s">
        <v>97</v>
      </c>
      <c r="C226" s="6" t="s">
        <v>508</v>
      </c>
      <c r="D226" s="6" t="s">
        <v>560</v>
      </c>
      <c r="E226" s="6" t="s">
        <v>331</v>
      </c>
      <c r="F226" s="17" t="s">
        <v>561</v>
      </c>
      <c r="G226" s="6" t="s">
        <v>52</v>
      </c>
      <c r="H226" s="19">
        <v>52000.0</v>
      </c>
      <c r="I226" s="34" t="s">
        <v>62</v>
      </c>
      <c r="J226" s="22">
        <v>271.0</v>
      </c>
      <c r="K226" s="22">
        <v>312.0</v>
      </c>
      <c r="L226" s="22">
        <v>2562.0</v>
      </c>
      <c r="M226" s="23">
        <v>0.56</v>
      </c>
      <c r="N226" s="24">
        <v>4.74</v>
      </c>
      <c r="O226" s="26" t="s">
        <v>29</v>
      </c>
      <c r="P226" s="26" t="s">
        <v>30</v>
      </c>
      <c r="Q226" s="27">
        <f t="shared" ref="Q226:Q233" si="82">L226/J226</f>
        <v>9.453874539</v>
      </c>
      <c r="R226" s="23">
        <f t="shared" ref="R226:R233" si="83">0+((ABS(0.5-M226)*1))</f>
        <v>0.06</v>
      </c>
      <c r="S226" s="27">
        <f t="shared" ref="S226:S233" si="84">Q226*(R226+1)</f>
        <v>10.02110701</v>
      </c>
      <c r="T226" s="6" t="s">
        <v>72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6.5" customHeight="1">
      <c r="A227" s="7" t="b">
        <v>0</v>
      </c>
      <c r="B227" s="6" t="s">
        <v>196</v>
      </c>
      <c r="C227" s="6" t="s">
        <v>508</v>
      </c>
      <c r="D227" s="6" t="s">
        <v>562</v>
      </c>
      <c r="E227" s="6" t="s">
        <v>306</v>
      </c>
      <c r="F227" s="36" t="s">
        <v>311</v>
      </c>
      <c r="G227" s="6" t="s">
        <v>52</v>
      </c>
      <c r="H227" s="19">
        <v>35000.0</v>
      </c>
      <c r="I227" s="10" t="s">
        <v>27</v>
      </c>
      <c r="J227" s="22">
        <v>460.0</v>
      </c>
      <c r="K227" s="22">
        <v>420.0</v>
      </c>
      <c r="L227" s="22">
        <v>3827.0</v>
      </c>
      <c r="M227" s="23">
        <v>0.54</v>
      </c>
      <c r="N227" s="24">
        <v>5.03</v>
      </c>
      <c r="O227" s="26" t="s">
        <v>29</v>
      </c>
      <c r="P227" s="26" t="s">
        <v>30</v>
      </c>
      <c r="Q227" s="27">
        <f t="shared" si="82"/>
        <v>8.319565217</v>
      </c>
      <c r="R227" s="23">
        <f t="shared" si="83"/>
        <v>0.04</v>
      </c>
      <c r="S227" s="27">
        <f t="shared" si="84"/>
        <v>8.652347826</v>
      </c>
      <c r="T227" s="6" t="s">
        <v>40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6.5" customHeight="1">
      <c r="A228" s="7" t="b">
        <v>0</v>
      </c>
      <c r="B228" s="6" t="s">
        <v>41</v>
      </c>
      <c r="C228" s="6" t="s">
        <v>508</v>
      </c>
      <c r="D228" s="6" t="s">
        <v>563</v>
      </c>
      <c r="E228" s="6" t="s">
        <v>231</v>
      </c>
      <c r="F228" s="32" t="s">
        <v>452</v>
      </c>
      <c r="G228" s="6" t="s">
        <v>52</v>
      </c>
      <c r="H228" s="19">
        <v>88000.0</v>
      </c>
      <c r="I228" s="10" t="s">
        <v>27</v>
      </c>
      <c r="J228" s="22">
        <v>526.0</v>
      </c>
      <c r="K228" s="22">
        <v>429.0</v>
      </c>
      <c r="L228" s="22">
        <v>3660.0</v>
      </c>
      <c r="M228" s="23">
        <v>0.53</v>
      </c>
      <c r="N228" s="24">
        <v>5.16</v>
      </c>
      <c r="O228" s="26" t="s">
        <v>29</v>
      </c>
      <c r="P228" s="26" t="s">
        <v>30</v>
      </c>
      <c r="Q228" s="27">
        <f t="shared" si="82"/>
        <v>6.958174905</v>
      </c>
      <c r="R228" s="23">
        <f t="shared" si="83"/>
        <v>0.03</v>
      </c>
      <c r="S228" s="27">
        <f t="shared" si="84"/>
        <v>7.166920152</v>
      </c>
      <c r="T228" s="6" t="s">
        <v>40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6.5" customHeight="1">
      <c r="A229" s="7" t="b">
        <v>0</v>
      </c>
      <c r="B229" s="6" t="s">
        <v>130</v>
      </c>
      <c r="C229" s="6" t="s">
        <v>508</v>
      </c>
      <c r="D229" s="6" t="s">
        <v>564</v>
      </c>
      <c r="E229" s="6" t="s">
        <v>306</v>
      </c>
      <c r="F229" s="36" t="s">
        <v>258</v>
      </c>
      <c r="G229" s="6" t="s">
        <v>52</v>
      </c>
      <c r="H229" s="19">
        <v>60000.0</v>
      </c>
      <c r="I229" s="10" t="s">
        <v>27</v>
      </c>
      <c r="J229" s="22">
        <v>662.0</v>
      </c>
      <c r="K229" s="22">
        <v>631.0</v>
      </c>
      <c r="L229" s="22">
        <v>3898.0</v>
      </c>
      <c r="M229" s="23">
        <v>0.57</v>
      </c>
      <c r="N229" s="24">
        <v>5.81</v>
      </c>
      <c r="O229" s="26" t="s">
        <v>29</v>
      </c>
      <c r="P229" s="26" t="s">
        <v>30</v>
      </c>
      <c r="Q229" s="27">
        <f t="shared" si="82"/>
        <v>5.888217523</v>
      </c>
      <c r="R229" s="23">
        <f t="shared" si="83"/>
        <v>0.07</v>
      </c>
      <c r="S229" s="27">
        <f t="shared" si="84"/>
        <v>6.300392749</v>
      </c>
      <c r="T229" s="6" t="s">
        <v>40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6.5" customHeight="1">
      <c r="A230" s="7" t="b">
        <v>0</v>
      </c>
      <c r="B230" s="6" t="s">
        <v>180</v>
      </c>
      <c r="C230" s="6" t="s">
        <v>508</v>
      </c>
      <c r="D230" s="6" t="s">
        <v>564</v>
      </c>
      <c r="E230" s="6" t="s">
        <v>306</v>
      </c>
      <c r="F230" s="32" t="s">
        <v>61</v>
      </c>
      <c r="G230" s="6" t="s">
        <v>52</v>
      </c>
      <c r="H230" s="19">
        <v>125000.0</v>
      </c>
      <c r="I230" s="10" t="s">
        <v>27</v>
      </c>
      <c r="J230" s="22">
        <v>760.0</v>
      </c>
      <c r="K230" s="22">
        <v>625.0</v>
      </c>
      <c r="L230" s="22">
        <v>4171.0</v>
      </c>
      <c r="M230" s="23">
        <v>0.56</v>
      </c>
      <c r="N230" s="24">
        <v>5.16</v>
      </c>
      <c r="O230" s="26" t="s">
        <v>29</v>
      </c>
      <c r="P230" s="26" t="s">
        <v>30</v>
      </c>
      <c r="Q230" s="27">
        <f t="shared" si="82"/>
        <v>5.488157895</v>
      </c>
      <c r="R230" s="23">
        <f t="shared" si="83"/>
        <v>0.06</v>
      </c>
      <c r="S230" s="27">
        <f t="shared" si="84"/>
        <v>5.817447368</v>
      </c>
      <c r="T230" s="6" t="s">
        <v>40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6.5" customHeight="1">
      <c r="A231" s="7" t="b">
        <v>0</v>
      </c>
      <c r="B231" s="6" t="s">
        <v>223</v>
      </c>
      <c r="C231" s="6" t="s">
        <v>508</v>
      </c>
      <c r="D231" s="6" t="s">
        <v>565</v>
      </c>
      <c r="E231" s="6" t="s">
        <v>302</v>
      </c>
      <c r="F231" s="8" t="s">
        <v>566</v>
      </c>
      <c r="G231" s="6" t="s">
        <v>52</v>
      </c>
      <c r="H231" s="19">
        <v>84000.0</v>
      </c>
      <c r="I231" s="20" t="s">
        <v>33</v>
      </c>
      <c r="J231" s="22">
        <v>235.0</v>
      </c>
      <c r="K231" s="22">
        <v>280.0</v>
      </c>
      <c r="L231" s="22">
        <v>3125.0</v>
      </c>
      <c r="M231" s="23">
        <v>0.57</v>
      </c>
      <c r="N231" s="24">
        <v>4.94</v>
      </c>
      <c r="O231" s="26" t="s">
        <v>29</v>
      </c>
      <c r="P231" s="26" t="s">
        <v>30</v>
      </c>
      <c r="Q231" s="27">
        <f t="shared" si="82"/>
        <v>13.29787234</v>
      </c>
      <c r="R231" s="23">
        <f t="shared" si="83"/>
        <v>0.07</v>
      </c>
      <c r="S231" s="27">
        <f t="shared" si="84"/>
        <v>14.2287234</v>
      </c>
      <c r="T231" s="6" t="s">
        <v>40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6.5" customHeight="1">
      <c r="A232" s="7" t="b">
        <v>0</v>
      </c>
      <c r="B232" s="6" t="s">
        <v>567</v>
      </c>
      <c r="C232" s="6" t="s">
        <v>508</v>
      </c>
      <c r="D232" s="6" t="s">
        <v>565</v>
      </c>
      <c r="E232" s="6" t="s">
        <v>302</v>
      </c>
      <c r="F232" s="25" t="s">
        <v>568</v>
      </c>
      <c r="G232" s="6" t="s">
        <v>52</v>
      </c>
      <c r="H232" s="19">
        <v>153000.0</v>
      </c>
      <c r="I232" s="20" t="s">
        <v>33</v>
      </c>
      <c r="J232" s="22">
        <v>385.0</v>
      </c>
      <c r="K232" s="22">
        <v>385.0</v>
      </c>
      <c r="L232" s="22">
        <v>3589.0</v>
      </c>
      <c r="M232" s="23">
        <v>0.57</v>
      </c>
      <c r="N232" s="24">
        <v>5.41</v>
      </c>
      <c r="O232" s="26" t="s">
        <v>29</v>
      </c>
      <c r="P232" s="26" t="s">
        <v>30</v>
      </c>
      <c r="Q232" s="27">
        <f t="shared" si="82"/>
        <v>9.322077922</v>
      </c>
      <c r="R232" s="23">
        <f t="shared" si="83"/>
        <v>0.07</v>
      </c>
      <c r="S232" s="27">
        <f t="shared" si="84"/>
        <v>9.974623377</v>
      </c>
      <c r="T232" s="6" t="s">
        <v>40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6.5" customHeight="1">
      <c r="A233" s="7" t="b">
        <v>0</v>
      </c>
      <c r="B233" s="6" t="s">
        <v>427</v>
      </c>
      <c r="C233" s="6" t="s">
        <v>508</v>
      </c>
      <c r="D233" s="6" t="s">
        <v>569</v>
      </c>
      <c r="E233" s="6" t="s">
        <v>215</v>
      </c>
      <c r="F233" s="8" t="s">
        <v>570</v>
      </c>
      <c r="G233" s="6" t="s">
        <v>52</v>
      </c>
      <c r="H233" s="19">
        <v>30000.0</v>
      </c>
      <c r="I233" s="10" t="s">
        <v>27</v>
      </c>
      <c r="J233" s="22">
        <v>153.0</v>
      </c>
      <c r="K233" s="22">
        <v>119.0</v>
      </c>
      <c r="L233" s="22">
        <v>2588.0</v>
      </c>
      <c r="M233" s="23">
        <v>0.59</v>
      </c>
      <c r="N233" s="24">
        <v>1.68</v>
      </c>
      <c r="O233" s="26" t="s">
        <v>30</v>
      </c>
      <c r="P233" s="26" t="s">
        <v>30</v>
      </c>
      <c r="Q233" s="27">
        <f t="shared" si="82"/>
        <v>16.91503268</v>
      </c>
      <c r="R233" s="23">
        <f t="shared" si="83"/>
        <v>0.09</v>
      </c>
      <c r="S233" s="27">
        <f t="shared" si="84"/>
        <v>18.43738562</v>
      </c>
      <c r="T233" s="6" t="s">
        <v>40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6.5" customHeight="1">
      <c r="A234" s="7" t="b">
        <v>0</v>
      </c>
      <c r="B234" s="5" t="s">
        <v>79</v>
      </c>
      <c r="C234" s="5" t="s">
        <v>508</v>
      </c>
      <c r="D234" s="5" t="s">
        <v>571</v>
      </c>
      <c r="E234" s="5" t="s">
        <v>514</v>
      </c>
      <c r="F234" s="25" t="s">
        <v>572</v>
      </c>
      <c r="G234" s="5" t="s">
        <v>52</v>
      </c>
      <c r="H234" s="9"/>
      <c r="I234" s="48"/>
      <c r="J234" s="9"/>
      <c r="K234" s="9"/>
      <c r="L234" s="9"/>
      <c r="M234" s="28"/>
      <c r="N234" s="29"/>
      <c r="O234" s="30"/>
      <c r="P234" s="30"/>
      <c r="Q234" s="16"/>
      <c r="R234" s="18"/>
      <c r="S234" s="16"/>
      <c r="T234" s="5" t="s">
        <v>129</v>
      </c>
      <c r="U234" s="21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6.5" customHeight="1">
      <c r="A235" s="7" t="b">
        <v>0</v>
      </c>
      <c r="B235" s="5" t="s">
        <v>573</v>
      </c>
      <c r="C235" s="5" t="s">
        <v>508</v>
      </c>
      <c r="D235" s="5" t="s">
        <v>574</v>
      </c>
      <c r="E235" s="5" t="s">
        <v>171</v>
      </c>
      <c r="F235" s="32" t="s">
        <v>575</v>
      </c>
      <c r="G235" s="5" t="s">
        <v>52</v>
      </c>
      <c r="H235" s="9">
        <v>420000.0</v>
      </c>
      <c r="I235" s="34" t="s">
        <v>62</v>
      </c>
      <c r="J235" s="9"/>
      <c r="K235" s="9"/>
      <c r="L235" s="9"/>
      <c r="M235" s="28"/>
      <c r="N235" s="29"/>
      <c r="O235" s="30"/>
      <c r="P235" s="30"/>
      <c r="Q235" s="16"/>
      <c r="R235" s="18"/>
      <c r="S235" s="16"/>
      <c r="T235" s="5" t="s">
        <v>34</v>
      </c>
      <c r="U235" s="21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6.5" customHeight="1">
      <c r="A236" s="7" t="b">
        <v>0</v>
      </c>
      <c r="B236" s="5" t="s">
        <v>299</v>
      </c>
      <c r="C236" s="5" t="s">
        <v>508</v>
      </c>
      <c r="D236" s="5" t="s">
        <v>576</v>
      </c>
      <c r="E236" s="5" t="s">
        <v>69</v>
      </c>
      <c r="F236" s="8" t="s">
        <v>51</v>
      </c>
      <c r="G236" s="5" t="s">
        <v>52</v>
      </c>
      <c r="H236" s="9"/>
      <c r="I236" s="48"/>
      <c r="J236" s="9"/>
      <c r="K236" s="9"/>
      <c r="L236" s="9"/>
      <c r="M236" s="28"/>
      <c r="N236" s="29"/>
      <c r="O236" s="30"/>
      <c r="P236" s="30"/>
      <c r="Q236" s="16"/>
      <c r="R236" s="18"/>
      <c r="S236" s="16"/>
      <c r="T236" s="5" t="s">
        <v>256</v>
      </c>
      <c r="U236" s="21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6.5" customHeight="1">
      <c r="A237" s="7" t="b">
        <v>0</v>
      </c>
      <c r="B237" s="6" t="s">
        <v>180</v>
      </c>
      <c r="C237" s="6" t="s">
        <v>508</v>
      </c>
      <c r="D237" s="6" t="s">
        <v>577</v>
      </c>
      <c r="E237" s="6" t="s">
        <v>374</v>
      </c>
      <c r="F237" s="17" t="s">
        <v>100</v>
      </c>
      <c r="G237" s="6" t="s">
        <v>52</v>
      </c>
      <c r="H237" s="19">
        <v>65000.0</v>
      </c>
      <c r="I237" s="20" t="s">
        <v>33</v>
      </c>
      <c r="J237" s="22">
        <v>475.0</v>
      </c>
      <c r="K237" s="22">
        <v>1050.0</v>
      </c>
      <c r="L237" s="22">
        <v>8587.0</v>
      </c>
      <c r="M237" s="23">
        <v>0.55</v>
      </c>
      <c r="N237" s="24">
        <v>6.65</v>
      </c>
      <c r="O237" s="26" t="s">
        <v>71</v>
      </c>
      <c r="P237" s="26" t="s">
        <v>30</v>
      </c>
      <c r="Q237" s="27">
        <f>L237/J237</f>
        <v>18.07789474</v>
      </c>
      <c r="R237" s="23">
        <f>0+((ABS(0.5-M237)*1))</f>
        <v>0.05</v>
      </c>
      <c r="S237" s="27">
        <f>Q237*(R237+1)</f>
        <v>18.98178947</v>
      </c>
      <c r="T237" s="6" t="s">
        <v>40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6.5" customHeight="1">
      <c r="A238" s="7" t="b">
        <v>0</v>
      </c>
      <c r="B238" s="5" t="s">
        <v>180</v>
      </c>
      <c r="C238" s="5" t="s">
        <v>508</v>
      </c>
      <c r="D238" s="51" t="s">
        <v>578</v>
      </c>
      <c r="E238" s="5" t="s">
        <v>374</v>
      </c>
      <c r="F238" s="36" t="s">
        <v>262</v>
      </c>
      <c r="G238" s="5" t="s">
        <v>52</v>
      </c>
      <c r="H238" s="9"/>
      <c r="I238" s="48"/>
      <c r="J238" s="9"/>
      <c r="K238" s="9"/>
      <c r="L238" s="9"/>
      <c r="M238" s="28"/>
      <c r="N238" s="29"/>
      <c r="O238" s="30"/>
      <c r="P238" s="30"/>
      <c r="Q238" s="16"/>
      <c r="R238" s="18"/>
      <c r="S238" s="16"/>
      <c r="T238" s="5" t="s">
        <v>129</v>
      </c>
      <c r="U238" s="21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6.5" customHeight="1">
      <c r="A239" s="7" t="b">
        <v>0</v>
      </c>
      <c r="B239" s="6" t="s">
        <v>473</v>
      </c>
      <c r="C239" s="6" t="s">
        <v>508</v>
      </c>
      <c r="D239" s="6" t="s">
        <v>579</v>
      </c>
      <c r="E239" s="6" t="s">
        <v>231</v>
      </c>
      <c r="F239" s="32" t="s">
        <v>580</v>
      </c>
      <c r="G239" s="6" t="s">
        <v>52</v>
      </c>
      <c r="H239" s="19">
        <v>250000.0</v>
      </c>
      <c r="I239" s="34" t="s">
        <v>62</v>
      </c>
      <c r="J239" s="22">
        <v>253.0</v>
      </c>
      <c r="K239" s="22">
        <v>253.0</v>
      </c>
      <c r="L239" s="22">
        <v>1962.0</v>
      </c>
      <c r="M239" s="23">
        <v>0.45</v>
      </c>
      <c r="N239" s="24">
        <v>2.94</v>
      </c>
      <c r="O239" s="26" t="s">
        <v>29</v>
      </c>
      <c r="P239" s="26" t="s">
        <v>77</v>
      </c>
      <c r="Q239" s="27">
        <f>L239/J239</f>
        <v>7.754940711</v>
      </c>
      <c r="R239" s="23">
        <f>0+((ABS(0.5-M239)*1))</f>
        <v>0.05</v>
      </c>
      <c r="S239" s="27">
        <f>Q239*(R239+1)</f>
        <v>8.142687747</v>
      </c>
      <c r="T239" s="6" t="s">
        <v>40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6.5" customHeight="1">
      <c r="A240" s="7" t="b">
        <v>0</v>
      </c>
      <c r="B240" s="5" t="s">
        <v>58</v>
      </c>
      <c r="C240" s="5" t="s">
        <v>508</v>
      </c>
      <c r="D240" s="5" t="s">
        <v>581</v>
      </c>
      <c r="E240" s="5" t="s">
        <v>126</v>
      </c>
      <c r="F240" s="49" t="s">
        <v>582</v>
      </c>
      <c r="G240" s="5" t="s">
        <v>52</v>
      </c>
      <c r="H240" s="9"/>
      <c r="I240" s="48"/>
      <c r="J240" s="9"/>
      <c r="K240" s="9"/>
      <c r="L240" s="9"/>
      <c r="M240" s="28"/>
      <c r="N240" s="29"/>
      <c r="O240" s="30"/>
      <c r="P240" s="30"/>
      <c r="Q240" s="16"/>
      <c r="R240" s="18"/>
      <c r="S240" s="16"/>
      <c r="T240" s="5" t="s">
        <v>103</v>
      </c>
      <c r="U240" s="21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6.5" customHeight="1">
      <c r="A241" s="7" t="b">
        <v>0</v>
      </c>
      <c r="B241" s="37" t="s">
        <v>247</v>
      </c>
      <c r="C241" s="37" t="s">
        <v>508</v>
      </c>
      <c r="D241" s="37" t="s">
        <v>583</v>
      </c>
      <c r="E241" s="37" t="s">
        <v>325</v>
      </c>
      <c r="F241" s="17" t="s">
        <v>584</v>
      </c>
      <c r="G241" s="37" t="s">
        <v>52</v>
      </c>
      <c r="H241" s="38"/>
      <c r="I241" s="19"/>
      <c r="J241" s="46">
        <v>270.0</v>
      </c>
      <c r="K241" s="46">
        <v>336.0</v>
      </c>
      <c r="L241" s="46">
        <v>3417.0</v>
      </c>
      <c r="M241" s="45">
        <v>0.52</v>
      </c>
      <c r="N241" s="47">
        <v>5.11</v>
      </c>
      <c r="O241" s="43" t="s">
        <v>29</v>
      </c>
      <c r="P241" s="43" t="s">
        <v>30</v>
      </c>
      <c r="Q241" s="44">
        <f t="shared" ref="Q241:Q244" si="85">L241/J241</f>
        <v>12.65555556</v>
      </c>
      <c r="R241" s="45">
        <f t="shared" ref="R241:R244" si="86">0+((ABS(0.5-M241)*1))</f>
        <v>0.02</v>
      </c>
      <c r="S241" s="44">
        <f t="shared" ref="S241:S244" si="87">Q241*(R241+1)</f>
        <v>12.90866667</v>
      </c>
      <c r="T241" s="37" t="s">
        <v>88</v>
      </c>
      <c r="U241" s="37" t="s">
        <v>89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6.5" customHeight="1">
      <c r="A242" s="7" t="b">
        <v>0</v>
      </c>
      <c r="B242" s="6" t="s">
        <v>187</v>
      </c>
      <c r="C242" s="6" t="s">
        <v>508</v>
      </c>
      <c r="D242" s="6" t="s">
        <v>585</v>
      </c>
      <c r="E242" s="6" t="s">
        <v>366</v>
      </c>
      <c r="F242" s="17" t="s">
        <v>586</v>
      </c>
      <c r="G242" s="6" t="s">
        <v>52</v>
      </c>
      <c r="H242" s="19">
        <v>42000.0</v>
      </c>
      <c r="I242" s="10" t="s">
        <v>27</v>
      </c>
      <c r="J242" s="22">
        <v>198.0</v>
      </c>
      <c r="K242" s="22">
        <v>346.0</v>
      </c>
      <c r="L242" s="22">
        <v>4493.0</v>
      </c>
      <c r="M242" s="23">
        <v>0.6</v>
      </c>
      <c r="N242" s="24">
        <v>3.2</v>
      </c>
      <c r="O242" s="26" t="s">
        <v>29</v>
      </c>
      <c r="P242" s="26" t="s">
        <v>30</v>
      </c>
      <c r="Q242" s="27">
        <f t="shared" si="85"/>
        <v>22.69191919</v>
      </c>
      <c r="R242" s="23">
        <f t="shared" si="86"/>
        <v>0.1</v>
      </c>
      <c r="S242" s="27">
        <f t="shared" si="87"/>
        <v>24.96111111</v>
      </c>
      <c r="T242" s="6" t="s">
        <v>40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6.5" customHeight="1">
      <c r="A243" s="7" t="b">
        <v>0</v>
      </c>
      <c r="B243" s="6" t="s">
        <v>238</v>
      </c>
      <c r="C243" s="6" t="s">
        <v>508</v>
      </c>
      <c r="D243" s="6" t="s">
        <v>587</v>
      </c>
      <c r="E243" s="6" t="s">
        <v>331</v>
      </c>
      <c r="F243" s="8" t="s">
        <v>588</v>
      </c>
      <c r="G243" s="6" t="s">
        <v>52</v>
      </c>
      <c r="H243" s="19">
        <v>218000.0</v>
      </c>
      <c r="I243" s="10" t="s">
        <v>27</v>
      </c>
      <c r="J243" s="22">
        <v>300.0</v>
      </c>
      <c r="K243" s="22">
        <v>380.0</v>
      </c>
      <c r="L243" s="22">
        <v>3047.0</v>
      </c>
      <c r="M243" s="23">
        <v>0.59</v>
      </c>
      <c r="N243" s="24">
        <v>5.75</v>
      </c>
      <c r="O243" s="26" t="s">
        <v>29</v>
      </c>
      <c r="P243" s="26" t="s">
        <v>30</v>
      </c>
      <c r="Q243" s="27">
        <f t="shared" si="85"/>
        <v>10.15666667</v>
      </c>
      <c r="R243" s="23">
        <f t="shared" si="86"/>
        <v>0.09</v>
      </c>
      <c r="S243" s="27">
        <f t="shared" si="87"/>
        <v>11.07076667</v>
      </c>
      <c r="T243" s="6" t="s">
        <v>40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6.5" customHeight="1">
      <c r="A244" s="7" t="b">
        <v>0</v>
      </c>
      <c r="B244" s="6" t="s">
        <v>82</v>
      </c>
      <c r="C244" s="6" t="s">
        <v>589</v>
      </c>
      <c r="D244" s="6" t="s">
        <v>590</v>
      </c>
      <c r="E244" s="6" t="s">
        <v>394</v>
      </c>
      <c r="F244" s="32" t="s">
        <v>591</v>
      </c>
      <c r="G244" s="6" t="s">
        <v>52</v>
      </c>
      <c r="H244" s="19">
        <v>525000.0</v>
      </c>
      <c r="I244" s="34" t="s">
        <v>62</v>
      </c>
      <c r="J244" s="22">
        <v>917.0</v>
      </c>
      <c r="K244" s="22">
        <v>756.0</v>
      </c>
      <c r="L244" s="22">
        <v>3200.0</v>
      </c>
      <c r="M244" s="23">
        <v>0.47</v>
      </c>
      <c r="N244" s="24">
        <v>6.0</v>
      </c>
      <c r="O244" s="26" t="s">
        <v>29</v>
      </c>
      <c r="P244" s="26" t="s">
        <v>30</v>
      </c>
      <c r="Q244" s="27">
        <f t="shared" si="85"/>
        <v>3.489640131</v>
      </c>
      <c r="R244" s="23">
        <f t="shared" si="86"/>
        <v>0.03</v>
      </c>
      <c r="S244" s="27">
        <f t="shared" si="87"/>
        <v>3.594329335</v>
      </c>
      <c r="T244" s="6" t="s">
        <v>122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6.5" customHeight="1">
      <c r="A245" s="7" t="b">
        <v>0</v>
      </c>
      <c r="B245" s="5" t="s">
        <v>116</v>
      </c>
      <c r="C245" s="5" t="s">
        <v>589</v>
      </c>
      <c r="D245" s="5" t="s">
        <v>592</v>
      </c>
      <c r="E245" s="5" t="s">
        <v>394</v>
      </c>
      <c r="F245" s="32" t="s">
        <v>593</v>
      </c>
      <c r="G245" s="5" t="s">
        <v>52</v>
      </c>
      <c r="H245" s="9">
        <v>250000.0</v>
      </c>
      <c r="I245" s="34" t="s">
        <v>62</v>
      </c>
      <c r="J245" s="9"/>
      <c r="K245" s="9"/>
      <c r="L245" s="9"/>
      <c r="M245" s="28"/>
      <c r="N245" s="29"/>
      <c r="O245" s="30"/>
      <c r="P245" s="30"/>
      <c r="Q245" s="16"/>
      <c r="R245" s="18"/>
      <c r="S245" s="16"/>
      <c r="T245" s="5" t="s">
        <v>129</v>
      </c>
      <c r="U245" s="21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6.5" customHeight="1">
      <c r="A246" s="7" t="b">
        <v>0</v>
      </c>
      <c r="B246" s="6" t="s">
        <v>180</v>
      </c>
      <c r="C246" s="6" t="s">
        <v>589</v>
      </c>
      <c r="D246" s="6" t="s">
        <v>594</v>
      </c>
      <c r="E246" s="6" t="s">
        <v>394</v>
      </c>
      <c r="F246" s="32" t="s">
        <v>595</v>
      </c>
      <c r="G246" s="6" t="s">
        <v>52</v>
      </c>
      <c r="H246" s="19">
        <v>185000.0</v>
      </c>
      <c r="I246" s="34" t="s">
        <v>62</v>
      </c>
      <c r="J246" s="22">
        <v>1033.0</v>
      </c>
      <c r="K246" s="22">
        <v>908.0</v>
      </c>
      <c r="L246" s="22">
        <v>3156.0</v>
      </c>
      <c r="M246" s="23">
        <v>0.48</v>
      </c>
      <c r="N246" s="24">
        <v>3.0</v>
      </c>
      <c r="O246" s="26" t="s">
        <v>29</v>
      </c>
      <c r="P246" s="26" t="s">
        <v>30</v>
      </c>
      <c r="Q246" s="27">
        <f t="shared" ref="Q246:Q248" si="88">L246/J246</f>
        <v>3.05517909</v>
      </c>
      <c r="R246" s="23">
        <f t="shared" ref="R246:R248" si="89">0+((ABS(0.5-M246)*1))</f>
        <v>0.02</v>
      </c>
      <c r="S246" s="27">
        <f t="shared" ref="S246:S248" si="90">Q246*(R246+1)</f>
        <v>3.116282672</v>
      </c>
      <c r="T246" s="6" t="s">
        <v>40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6.5" customHeight="1">
      <c r="A247" s="7" t="b">
        <v>0</v>
      </c>
      <c r="B247" s="6" t="s">
        <v>242</v>
      </c>
      <c r="C247" s="6" t="s">
        <v>589</v>
      </c>
      <c r="D247" s="6" t="s">
        <v>596</v>
      </c>
      <c r="E247" s="6" t="s">
        <v>394</v>
      </c>
      <c r="F247" s="32" t="s">
        <v>597</v>
      </c>
      <c r="G247" s="6" t="s">
        <v>52</v>
      </c>
      <c r="H247" s="19">
        <v>150000.0</v>
      </c>
      <c r="I247" s="34" t="s">
        <v>62</v>
      </c>
      <c r="J247" s="22">
        <v>1035.0</v>
      </c>
      <c r="K247" s="22">
        <v>920.0</v>
      </c>
      <c r="L247" s="22">
        <v>2849.0</v>
      </c>
      <c r="M247" s="23">
        <v>0.49</v>
      </c>
      <c r="N247" s="24">
        <v>3.35</v>
      </c>
      <c r="O247" s="26" t="s">
        <v>29</v>
      </c>
      <c r="P247" s="26" t="s">
        <v>30</v>
      </c>
      <c r="Q247" s="27">
        <f t="shared" si="88"/>
        <v>2.752657005</v>
      </c>
      <c r="R247" s="23">
        <f t="shared" si="89"/>
        <v>0.01</v>
      </c>
      <c r="S247" s="27">
        <f t="shared" si="90"/>
        <v>2.780183575</v>
      </c>
      <c r="T247" s="6" t="s">
        <v>40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6.5" customHeight="1">
      <c r="A248" s="7" t="b">
        <v>0</v>
      </c>
      <c r="B248" s="6" t="s">
        <v>123</v>
      </c>
      <c r="C248" s="6" t="s">
        <v>589</v>
      </c>
      <c r="D248" s="6" t="s">
        <v>598</v>
      </c>
      <c r="E248" s="6" t="s">
        <v>394</v>
      </c>
      <c r="F248" s="32" t="s">
        <v>599</v>
      </c>
      <c r="G248" s="6" t="s">
        <v>52</v>
      </c>
      <c r="H248" s="19">
        <v>150000.0</v>
      </c>
      <c r="I248" s="34" t="s">
        <v>62</v>
      </c>
      <c r="J248" s="22">
        <v>1185.0</v>
      </c>
      <c r="K248" s="22">
        <v>867.0</v>
      </c>
      <c r="L248" s="22">
        <v>3156.0</v>
      </c>
      <c r="M248" s="23">
        <v>0.54</v>
      </c>
      <c r="N248" s="24">
        <v>2.67</v>
      </c>
      <c r="O248" s="26" t="s">
        <v>29</v>
      </c>
      <c r="P248" s="26" t="s">
        <v>30</v>
      </c>
      <c r="Q248" s="27">
        <f t="shared" si="88"/>
        <v>2.663291139</v>
      </c>
      <c r="R248" s="23">
        <f t="shared" si="89"/>
        <v>0.04</v>
      </c>
      <c r="S248" s="27">
        <f t="shared" si="90"/>
        <v>2.769822785</v>
      </c>
      <c r="T248" s="6" t="s">
        <v>40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6.5" customHeight="1">
      <c r="A249" s="7" t="b">
        <v>0</v>
      </c>
      <c r="B249" s="5" t="s">
        <v>191</v>
      </c>
      <c r="C249" s="5" t="s">
        <v>589</v>
      </c>
      <c r="D249" s="5" t="s">
        <v>600</v>
      </c>
      <c r="E249" s="5" t="s">
        <v>394</v>
      </c>
      <c r="F249" s="32" t="s">
        <v>601</v>
      </c>
      <c r="G249" s="5" t="s">
        <v>52</v>
      </c>
      <c r="H249" s="9"/>
      <c r="I249" s="48"/>
      <c r="J249" s="9"/>
      <c r="K249" s="9"/>
      <c r="L249" s="9"/>
      <c r="M249" s="28"/>
      <c r="N249" s="29"/>
      <c r="O249" s="30"/>
      <c r="P249" s="30"/>
      <c r="Q249" s="16"/>
      <c r="R249" s="18"/>
      <c r="S249" s="16"/>
      <c r="T249" s="5" t="s">
        <v>129</v>
      </c>
      <c r="U249" s="21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6.5" customHeight="1">
      <c r="A250" s="7" t="b">
        <v>0</v>
      </c>
      <c r="B250" s="6" t="s">
        <v>41</v>
      </c>
      <c r="C250" s="6" t="s">
        <v>589</v>
      </c>
      <c r="D250" s="6" t="s">
        <v>602</v>
      </c>
      <c r="E250" s="6" t="s">
        <v>394</v>
      </c>
      <c r="F250" s="32" t="s">
        <v>575</v>
      </c>
      <c r="G250" s="6" t="s">
        <v>52</v>
      </c>
      <c r="H250" s="19">
        <v>150000.0</v>
      </c>
      <c r="I250" s="34" t="s">
        <v>62</v>
      </c>
      <c r="J250" s="22">
        <v>1000.0</v>
      </c>
      <c r="K250" s="22">
        <v>900.0</v>
      </c>
      <c r="L250" s="22">
        <v>2899.0</v>
      </c>
      <c r="M250" s="23">
        <v>0.55</v>
      </c>
      <c r="N250" s="24">
        <v>6.16</v>
      </c>
      <c r="O250" s="26" t="s">
        <v>29</v>
      </c>
      <c r="P250" s="26" t="s">
        <v>30</v>
      </c>
      <c r="Q250" s="27">
        <f t="shared" ref="Q250:Q256" si="91">L250/J250</f>
        <v>2.899</v>
      </c>
      <c r="R250" s="23">
        <f t="shared" ref="R250:R256" si="92">0+((ABS(0.5-M250)*1))</f>
        <v>0.05</v>
      </c>
      <c r="S250" s="27">
        <f t="shared" ref="S250:S256" si="93">Q250*(R250+1)</f>
        <v>3.04395</v>
      </c>
      <c r="T250" s="6" t="s">
        <v>40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6.5" customHeight="1">
      <c r="A251" s="7" t="b">
        <v>0</v>
      </c>
      <c r="B251" s="6" t="s">
        <v>48</v>
      </c>
      <c r="C251" s="6" t="s">
        <v>589</v>
      </c>
      <c r="D251" s="6" t="s">
        <v>603</v>
      </c>
      <c r="E251" s="6" t="s">
        <v>394</v>
      </c>
      <c r="F251" s="32" t="s">
        <v>604</v>
      </c>
      <c r="G251" s="6" t="s">
        <v>52</v>
      </c>
      <c r="H251" s="19">
        <v>200000.0</v>
      </c>
      <c r="I251" s="34" t="s">
        <v>62</v>
      </c>
      <c r="J251" s="22">
        <v>1300.0</v>
      </c>
      <c r="K251" s="22">
        <v>1300.0</v>
      </c>
      <c r="L251" s="22">
        <v>3100.0</v>
      </c>
      <c r="M251" s="23">
        <v>0.49</v>
      </c>
      <c r="N251" s="24">
        <v>3.8</v>
      </c>
      <c r="O251" s="26" t="s">
        <v>29</v>
      </c>
      <c r="P251" s="26" t="s">
        <v>30</v>
      </c>
      <c r="Q251" s="27">
        <f t="shared" si="91"/>
        <v>2.384615385</v>
      </c>
      <c r="R251" s="23">
        <f t="shared" si="92"/>
        <v>0.01</v>
      </c>
      <c r="S251" s="27">
        <f t="shared" si="93"/>
        <v>2.408461538</v>
      </c>
      <c r="T251" s="6" t="s">
        <v>40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6.5" customHeight="1">
      <c r="A252" s="7" t="b">
        <v>0</v>
      </c>
      <c r="B252" s="6" t="s">
        <v>130</v>
      </c>
      <c r="C252" s="6" t="s">
        <v>589</v>
      </c>
      <c r="D252" s="6" t="s">
        <v>605</v>
      </c>
      <c r="E252" s="6" t="s">
        <v>394</v>
      </c>
      <c r="F252" s="32" t="s">
        <v>606</v>
      </c>
      <c r="G252" s="6" t="s">
        <v>52</v>
      </c>
      <c r="H252" s="19">
        <v>275000.0</v>
      </c>
      <c r="I252" s="34" t="s">
        <v>62</v>
      </c>
      <c r="J252" s="22">
        <v>1050.0</v>
      </c>
      <c r="K252" s="22">
        <v>850.0</v>
      </c>
      <c r="L252" s="22">
        <v>3000.0</v>
      </c>
      <c r="M252" s="23">
        <v>0.5</v>
      </c>
      <c r="N252" s="24">
        <v>7.0</v>
      </c>
      <c r="O252" s="26" t="s">
        <v>29</v>
      </c>
      <c r="P252" s="26" t="s">
        <v>30</v>
      </c>
      <c r="Q252" s="27">
        <f t="shared" si="91"/>
        <v>2.857142857</v>
      </c>
      <c r="R252" s="23">
        <f t="shared" si="92"/>
        <v>0</v>
      </c>
      <c r="S252" s="27">
        <f t="shared" si="93"/>
        <v>2.857142857</v>
      </c>
      <c r="T252" s="6" t="s">
        <v>40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6.5" customHeight="1">
      <c r="A253" s="7" t="b">
        <v>0</v>
      </c>
      <c r="B253" s="6" t="s">
        <v>266</v>
      </c>
      <c r="C253" s="6" t="s">
        <v>589</v>
      </c>
      <c r="D253" s="6" t="s">
        <v>607</v>
      </c>
      <c r="E253" s="6" t="s">
        <v>394</v>
      </c>
      <c r="F253" s="32" t="s">
        <v>601</v>
      </c>
      <c r="G253" s="6" t="s">
        <v>52</v>
      </c>
      <c r="H253" s="19">
        <v>150000.0</v>
      </c>
      <c r="I253" s="34" t="s">
        <v>62</v>
      </c>
      <c r="J253" s="22">
        <v>1251.0</v>
      </c>
      <c r="K253" s="22">
        <v>1118.0</v>
      </c>
      <c r="L253" s="22">
        <v>3100.0</v>
      </c>
      <c r="M253" s="23">
        <v>0.5</v>
      </c>
      <c r="N253" s="24">
        <v>7.01</v>
      </c>
      <c r="O253" s="26" t="s">
        <v>29</v>
      </c>
      <c r="P253" s="26" t="s">
        <v>30</v>
      </c>
      <c r="Q253" s="27">
        <f t="shared" si="91"/>
        <v>2.478017586</v>
      </c>
      <c r="R253" s="23">
        <f t="shared" si="92"/>
        <v>0</v>
      </c>
      <c r="S253" s="27">
        <f t="shared" si="93"/>
        <v>2.478017586</v>
      </c>
      <c r="T253" s="6" t="s">
        <v>122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6.5" customHeight="1">
      <c r="A254" s="7" t="b">
        <v>0</v>
      </c>
      <c r="B254" s="6" t="s">
        <v>180</v>
      </c>
      <c r="C254" s="6" t="s">
        <v>589</v>
      </c>
      <c r="D254" s="6" t="s">
        <v>608</v>
      </c>
      <c r="E254" s="6" t="s">
        <v>394</v>
      </c>
      <c r="F254" s="32" t="s">
        <v>601</v>
      </c>
      <c r="G254" s="6" t="s">
        <v>52</v>
      </c>
      <c r="H254" s="19">
        <v>150000.0</v>
      </c>
      <c r="I254" s="34" t="s">
        <v>62</v>
      </c>
      <c r="J254" s="22">
        <v>822.0</v>
      </c>
      <c r="K254" s="22">
        <v>678.0</v>
      </c>
      <c r="L254" s="22">
        <v>2849.0</v>
      </c>
      <c r="M254" s="23">
        <v>0.49</v>
      </c>
      <c r="N254" s="24">
        <v>6.21</v>
      </c>
      <c r="O254" s="26" t="s">
        <v>29</v>
      </c>
      <c r="P254" s="26" t="s">
        <v>30</v>
      </c>
      <c r="Q254" s="27">
        <f t="shared" si="91"/>
        <v>3.46593674</v>
      </c>
      <c r="R254" s="23">
        <f t="shared" si="92"/>
        <v>0.01</v>
      </c>
      <c r="S254" s="27">
        <f t="shared" si="93"/>
        <v>3.500596107</v>
      </c>
      <c r="T254" s="6" t="s">
        <v>40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6.5" customHeight="1">
      <c r="A255" s="7" t="b">
        <v>0</v>
      </c>
      <c r="B255" s="6" t="s">
        <v>477</v>
      </c>
      <c r="C255" s="6" t="s">
        <v>589</v>
      </c>
      <c r="D255" s="6" t="s">
        <v>609</v>
      </c>
      <c r="E255" s="6" t="s">
        <v>394</v>
      </c>
      <c r="F255" s="32" t="s">
        <v>172</v>
      </c>
      <c r="G255" s="6" t="s">
        <v>52</v>
      </c>
      <c r="H255" s="19">
        <v>150000.0</v>
      </c>
      <c r="I255" s="34" t="s">
        <v>62</v>
      </c>
      <c r="J255" s="22">
        <v>750.0</v>
      </c>
      <c r="K255" s="22">
        <v>750.0</v>
      </c>
      <c r="L255" s="22">
        <v>2800.0</v>
      </c>
      <c r="M255" s="23">
        <v>0.53</v>
      </c>
      <c r="N255" s="24">
        <v>6.16</v>
      </c>
      <c r="O255" s="26" t="s">
        <v>29</v>
      </c>
      <c r="P255" s="26" t="s">
        <v>30</v>
      </c>
      <c r="Q255" s="27">
        <f t="shared" si="91"/>
        <v>3.733333333</v>
      </c>
      <c r="R255" s="23">
        <f t="shared" si="92"/>
        <v>0.03</v>
      </c>
      <c r="S255" s="27">
        <f t="shared" si="93"/>
        <v>3.845333333</v>
      </c>
      <c r="T255" s="6" t="s">
        <v>40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6.5" customHeight="1">
      <c r="A256" s="7" t="b">
        <v>0</v>
      </c>
      <c r="B256" s="6" t="s">
        <v>177</v>
      </c>
      <c r="C256" s="6" t="s">
        <v>589</v>
      </c>
      <c r="D256" s="6" t="s">
        <v>610</v>
      </c>
      <c r="E256" s="6" t="s">
        <v>394</v>
      </c>
      <c r="F256" s="32" t="s">
        <v>351</v>
      </c>
      <c r="G256" s="6" t="s">
        <v>52</v>
      </c>
      <c r="H256" s="19">
        <v>150000.0</v>
      </c>
      <c r="I256" s="34" t="s">
        <v>62</v>
      </c>
      <c r="J256" s="22">
        <v>1000.0</v>
      </c>
      <c r="K256" s="22">
        <v>566.0</v>
      </c>
      <c r="L256" s="22">
        <v>2824.0</v>
      </c>
      <c r="M256" s="23">
        <v>0.55</v>
      </c>
      <c r="N256" s="24">
        <v>1.96</v>
      </c>
      <c r="O256" s="26" t="s">
        <v>29</v>
      </c>
      <c r="P256" s="26" t="s">
        <v>30</v>
      </c>
      <c r="Q256" s="27">
        <f t="shared" si="91"/>
        <v>2.824</v>
      </c>
      <c r="R256" s="23">
        <f t="shared" si="92"/>
        <v>0.05</v>
      </c>
      <c r="S256" s="27">
        <f t="shared" si="93"/>
        <v>2.9652</v>
      </c>
      <c r="T256" s="6" t="s">
        <v>122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6.5" customHeight="1">
      <c r="A257" s="7" t="b">
        <v>0</v>
      </c>
      <c r="B257" s="5" t="s">
        <v>196</v>
      </c>
      <c r="C257" s="5" t="s">
        <v>611</v>
      </c>
      <c r="D257" s="5" t="s">
        <v>612</v>
      </c>
      <c r="E257" s="5" t="s">
        <v>111</v>
      </c>
      <c r="F257" s="32" t="s">
        <v>613</v>
      </c>
      <c r="G257" s="5" t="s">
        <v>52</v>
      </c>
      <c r="H257" s="9">
        <v>300000.0</v>
      </c>
      <c r="I257" s="34" t="s">
        <v>62</v>
      </c>
      <c r="J257" s="9"/>
      <c r="K257" s="9"/>
      <c r="L257" s="9"/>
      <c r="M257" s="28"/>
      <c r="N257" s="29"/>
      <c r="O257" s="30"/>
      <c r="P257" s="30"/>
      <c r="Q257" s="16"/>
      <c r="R257" s="18"/>
      <c r="S257" s="16"/>
      <c r="T257" s="5" t="s">
        <v>103</v>
      </c>
      <c r="U257" s="21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6.5" customHeight="1">
      <c r="A258" s="7" t="b">
        <v>0</v>
      </c>
      <c r="B258" s="6" t="s">
        <v>58</v>
      </c>
      <c r="C258" s="6" t="s">
        <v>614</v>
      </c>
      <c r="D258" s="6" t="s">
        <v>615</v>
      </c>
      <c r="E258" s="6" t="s">
        <v>374</v>
      </c>
      <c r="F258" s="36" t="s">
        <v>616</v>
      </c>
      <c r="G258" s="6" t="s">
        <v>52</v>
      </c>
      <c r="H258" s="19">
        <v>95000.0</v>
      </c>
      <c r="I258" s="34" t="s">
        <v>62</v>
      </c>
      <c r="J258" s="22">
        <v>1026.0</v>
      </c>
      <c r="K258" s="22">
        <v>932.0</v>
      </c>
      <c r="L258" s="22">
        <v>9063.0</v>
      </c>
      <c r="M258" s="23">
        <v>0.5</v>
      </c>
      <c r="N258" s="24" t="s">
        <v>211</v>
      </c>
      <c r="O258" s="26" t="s">
        <v>71</v>
      </c>
      <c r="P258" s="26" t="s">
        <v>30</v>
      </c>
      <c r="Q258" s="27">
        <f t="shared" ref="Q258:Q265" si="94">L258/J258</f>
        <v>8.833333333</v>
      </c>
      <c r="R258" s="23">
        <f t="shared" ref="R258:R265" si="95">0+((ABS(0.5-M258)*1))</f>
        <v>0</v>
      </c>
      <c r="S258" s="27">
        <f t="shared" ref="S258:S265" si="96">Q258*(R258+1)</f>
        <v>8.833333333</v>
      </c>
      <c r="T258" s="6" t="s">
        <v>40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6.5" customHeight="1">
      <c r="A259" s="7" t="b">
        <v>0</v>
      </c>
      <c r="B259" s="6" t="s">
        <v>334</v>
      </c>
      <c r="C259" s="6" t="s">
        <v>614</v>
      </c>
      <c r="D259" s="6" t="s">
        <v>617</v>
      </c>
      <c r="E259" s="6" t="s">
        <v>374</v>
      </c>
      <c r="F259" s="8" t="s">
        <v>145</v>
      </c>
      <c r="G259" s="6" t="s">
        <v>52</v>
      </c>
      <c r="H259" s="19">
        <v>60000.0</v>
      </c>
      <c r="I259" s="20" t="s">
        <v>33</v>
      </c>
      <c r="J259" s="22">
        <v>300.0</v>
      </c>
      <c r="K259" s="22">
        <v>335.0</v>
      </c>
      <c r="L259" s="22">
        <v>4007.0</v>
      </c>
      <c r="M259" s="23">
        <v>0.55</v>
      </c>
      <c r="N259" s="24">
        <v>5.67</v>
      </c>
      <c r="O259" s="26" t="s">
        <v>71</v>
      </c>
      <c r="P259" s="26" t="s">
        <v>30</v>
      </c>
      <c r="Q259" s="27">
        <f t="shared" si="94"/>
        <v>13.35666667</v>
      </c>
      <c r="R259" s="23">
        <f t="shared" si="95"/>
        <v>0.05</v>
      </c>
      <c r="S259" s="27">
        <f t="shared" si="96"/>
        <v>14.0245</v>
      </c>
      <c r="T259" s="6" t="s">
        <v>72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6.5" customHeight="1">
      <c r="A260" s="7" t="b">
        <v>0</v>
      </c>
      <c r="B260" s="6" t="s">
        <v>618</v>
      </c>
      <c r="C260" s="6" t="s">
        <v>614</v>
      </c>
      <c r="D260" s="6" t="s">
        <v>619</v>
      </c>
      <c r="E260" s="6" t="s">
        <v>374</v>
      </c>
      <c r="F260" s="8" t="s">
        <v>620</v>
      </c>
      <c r="G260" s="6" t="s">
        <v>52</v>
      </c>
      <c r="H260" s="19">
        <v>46000.0</v>
      </c>
      <c r="I260" s="34" t="s">
        <v>62</v>
      </c>
      <c r="J260" s="22">
        <v>280.0</v>
      </c>
      <c r="K260" s="22">
        <v>360.0</v>
      </c>
      <c r="L260" s="22">
        <v>3613.0</v>
      </c>
      <c r="M260" s="23">
        <v>0.63</v>
      </c>
      <c r="N260" s="24">
        <v>4.3</v>
      </c>
      <c r="O260" s="26" t="s">
        <v>71</v>
      </c>
      <c r="P260" s="26" t="s">
        <v>30</v>
      </c>
      <c r="Q260" s="27">
        <f t="shared" si="94"/>
        <v>12.90357143</v>
      </c>
      <c r="R260" s="23">
        <f t="shared" si="95"/>
        <v>0.13</v>
      </c>
      <c r="S260" s="27">
        <f t="shared" si="96"/>
        <v>14.58103571</v>
      </c>
      <c r="T260" s="6" t="s">
        <v>40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6.5" customHeight="1">
      <c r="A261" s="7" t="b">
        <v>0</v>
      </c>
      <c r="B261" s="6" t="s">
        <v>66</v>
      </c>
      <c r="C261" s="6" t="s">
        <v>614</v>
      </c>
      <c r="D261" s="6" t="s">
        <v>621</v>
      </c>
      <c r="E261" s="6" t="s">
        <v>153</v>
      </c>
      <c r="F261" s="8" t="s">
        <v>622</v>
      </c>
      <c r="G261" s="6" t="s">
        <v>52</v>
      </c>
      <c r="H261" s="19">
        <v>38000.0</v>
      </c>
      <c r="I261" s="34" t="s">
        <v>62</v>
      </c>
      <c r="J261" s="22">
        <v>280.0</v>
      </c>
      <c r="K261" s="22">
        <v>360.0</v>
      </c>
      <c r="L261" s="22">
        <v>3800.0</v>
      </c>
      <c r="M261" s="23">
        <v>0.57</v>
      </c>
      <c r="N261" s="24">
        <v>4.3</v>
      </c>
      <c r="O261" s="26" t="s">
        <v>71</v>
      </c>
      <c r="P261" s="26" t="s">
        <v>30</v>
      </c>
      <c r="Q261" s="27">
        <f t="shared" si="94"/>
        <v>13.57142857</v>
      </c>
      <c r="R261" s="23">
        <f t="shared" si="95"/>
        <v>0.07</v>
      </c>
      <c r="S261" s="27">
        <f t="shared" si="96"/>
        <v>14.52142857</v>
      </c>
      <c r="T261" s="6" t="s">
        <v>40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6.5" customHeight="1">
      <c r="A262" s="7" t="b">
        <v>0</v>
      </c>
      <c r="B262" s="6" t="s">
        <v>180</v>
      </c>
      <c r="C262" s="6" t="s">
        <v>623</v>
      </c>
      <c r="D262" s="6" t="s">
        <v>624</v>
      </c>
      <c r="E262" s="6" t="s">
        <v>156</v>
      </c>
      <c r="F262" s="50" t="s">
        <v>625</v>
      </c>
      <c r="G262" s="6" t="s">
        <v>134</v>
      </c>
      <c r="H262" s="19">
        <v>3050000.0</v>
      </c>
      <c r="I262" s="35" t="s">
        <v>76</v>
      </c>
      <c r="J262" s="22">
        <v>655.0</v>
      </c>
      <c r="K262" s="22">
        <v>344.0</v>
      </c>
      <c r="L262" s="22">
        <v>2242.0</v>
      </c>
      <c r="M262" s="23">
        <v>0.42</v>
      </c>
      <c r="N262" s="24">
        <v>3.99</v>
      </c>
      <c r="O262" s="26" t="s">
        <v>29</v>
      </c>
      <c r="P262" s="26" t="s">
        <v>77</v>
      </c>
      <c r="Q262" s="27">
        <f t="shared" si="94"/>
        <v>3.422900763</v>
      </c>
      <c r="R262" s="23">
        <f t="shared" si="95"/>
        <v>0.08</v>
      </c>
      <c r="S262" s="27">
        <f t="shared" si="96"/>
        <v>3.696732824</v>
      </c>
      <c r="T262" s="6" t="s">
        <v>122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6.5" customHeight="1">
      <c r="A263" s="7" t="b">
        <v>0</v>
      </c>
      <c r="B263" s="6" t="s">
        <v>485</v>
      </c>
      <c r="C263" s="6" t="s">
        <v>626</v>
      </c>
      <c r="D263" s="6" t="s">
        <v>627</v>
      </c>
      <c r="E263" s="6" t="s">
        <v>141</v>
      </c>
      <c r="F263" s="32" t="s">
        <v>628</v>
      </c>
      <c r="G263" s="6" t="s">
        <v>228</v>
      </c>
      <c r="H263" s="19">
        <v>250000.0</v>
      </c>
      <c r="I263" s="35" t="s">
        <v>76</v>
      </c>
      <c r="J263" s="22">
        <v>700.0</v>
      </c>
      <c r="K263" s="22">
        <v>645.0</v>
      </c>
      <c r="L263" s="22">
        <v>3803.0</v>
      </c>
      <c r="M263" s="23">
        <v>0.45</v>
      </c>
      <c r="N263" s="24">
        <v>4.0</v>
      </c>
      <c r="O263" s="26" t="s">
        <v>29</v>
      </c>
      <c r="P263" s="26" t="s">
        <v>30</v>
      </c>
      <c r="Q263" s="27">
        <f t="shared" si="94"/>
        <v>5.432857143</v>
      </c>
      <c r="R263" s="23">
        <f t="shared" si="95"/>
        <v>0.05</v>
      </c>
      <c r="S263" s="27">
        <f t="shared" si="96"/>
        <v>5.7045</v>
      </c>
      <c r="T263" s="6" t="s">
        <v>40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6.5" customHeight="1">
      <c r="A264" s="7" t="b">
        <v>0</v>
      </c>
      <c r="B264" s="6" t="s">
        <v>123</v>
      </c>
      <c r="C264" s="6" t="s">
        <v>629</v>
      </c>
      <c r="D264" s="6" t="s">
        <v>630</v>
      </c>
      <c r="E264" s="6" t="s">
        <v>374</v>
      </c>
      <c r="F264" s="25" t="s">
        <v>631</v>
      </c>
      <c r="G264" s="6" t="s">
        <v>52</v>
      </c>
      <c r="H264" s="19">
        <v>375000.0</v>
      </c>
      <c r="I264" s="35" t="s">
        <v>76</v>
      </c>
      <c r="J264" s="22">
        <v>600.0</v>
      </c>
      <c r="K264" s="22">
        <v>622.0</v>
      </c>
      <c r="L264" s="22">
        <v>6697.0</v>
      </c>
      <c r="M264" s="23">
        <v>0.51</v>
      </c>
      <c r="N264" s="24">
        <v>3.5</v>
      </c>
      <c r="O264" s="26" t="s">
        <v>71</v>
      </c>
      <c r="P264" s="26" t="s">
        <v>30</v>
      </c>
      <c r="Q264" s="27">
        <f t="shared" si="94"/>
        <v>11.16166667</v>
      </c>
      <c r="R264" s="23">
        <f t="shared" si="95"/>
        <v>0.01</v>
      </c>
      <c r="S264" s="27">
        <f t="shared" si="96"/>
        <v>11.27328333</v>
      </c>
      <c r="T264" s="6" t="s">
        <v>40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6.5" customHeight="1">
      <c r="A265" s="7" t="b">
        <v>0</v>
      </c>
      <c r="B265" s="6" t="s">
        <v>90</v>
      </c>
      <c r="C265" s="6" t="s">
        <v>629</v>
      </c>
      <c r="D265" s="6" t="s">
        <v>632</v>
      </c>
      <c r="E265" s="6" t="s">
        <v>156</v>
      </c>
      <c r="F265" s="50" t="s">
        <v>633</v>
      </c>
      <c r="G265" s="6" t="s">
        <v>52</v>
      </c>
      <c r="H265" s="19">
        <v>2050000.0</v>
      </c>
      <c r="I265" s="35" t="s">
        <v>76</v>
      </c>
      <c r="J265" s="22">
        <v>1817.0</v>
      </c>
      <c r="K265" s="22">
        <v>1193.0</v>
      </c>
      <c r="L265" s="22">
        <v>3053.0</v>
      </c>
      <c r="M265" s="23">
        <v>0.45</v>
      </c>
      <c r="N265" s="24">
        <v>6.56</v>
      </c>
      <c r="O265" s="26" t="s">
        <v>29</v>
      </c>
      <c r="P265" s="26" t="s">
        <v>77</v>
      </c>
      <c r="Q265" s="27">
        <f t="shared" si="94"/>
        <v>1.680242157</v>
      </c>
      <c r="R265" s="23">
        <f t="shared" si="95"/>
        <v>0.05</v>
      </c>
      <c r="S265" s="27">
        <f t="shared" si="96"/>
        <v>1.764254265</v>
      </c>
      <c r="T265" s="6" t="s">
        <v>40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6.5" customHeight="1">
      <c r="A266" s="7" t="b">
        <v>0</v>
      </c>
      <c r="B266" s="5" t="s">
        <v>285</v>
      </c>
      <c r="C266" s="5" t="s">
        <v>629</v>
      </c>
      <c r="D266" s="5" t="s">
        <v>634</v>
      </c>
      <c r="E266" s="5" t="s">
        <v>156</v>
      </c>
      <c r="F266" s="50" t="s">
        <v>635</v>
      </c>
      <c r="G266" s="5" t="s">
        <v>52</v>
      </c>
      <c r="H266" s="9"/>
      <c r="I266" s="48"/>
      <c r="J266" s="9"/>
      <c r="K266" s="9"/>
      <c r="L266" s="9"/>
      <c r="M266" s="28"/>
      <c r="N266" s="29"/>
      <c r="O266" s="30"/>
      <c r="P266" s="30"/>
      <c r="Q266" s="16"/>
      <c r="R266" s="18"/>
      <c r="S266" s="16"/>
      <c r="T266" s="5" t="s">
        <v>129</v>
      </c>
      <c r="U266" s="21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6.5" customHeight="1">
      <c r="A267" s="7" t="b">
        <v>0</v>
      </c>
      <c r="B267" s="6" t="s">
        <v>519</v>
      </c>
      <c r="C267" s="6" t="s">
        <v>636</v>
      </c>
      <c r="D267" s="6" t="s">
        <v>637</v>
      </c>
      <c r="E267" s="6" t="s">
        <v>331</v>
      </c>
      <c r="F267" s="8" t="s">
        <v>638</v>
      </c>
      <c r="G267" s="6" t="s">
        <v>639</v>
      </c>
      <c r="H267" s="19">
        <v>500000.0</v>
      </c>
      <c r="I267" s="10" t="s">
        <v>27</v>
      </c>
      <c r="J267" s="22">
        <v>216.0</v>
      </c>
      <c r="K267" s="22">
        <v>295.0</v>
      </c>
      <c r="L267" s="22">
        <v>2520.0</v>
      </c>
      <c r="M267" s="23">
        <v>0.59</v>
      </c>
      <c r="N267" s="24">
        <v>5.05</v>
      </c>
      <c r="O267" s="26" t="s">
        <v>29</v>
      </c>
      <c r="P267" s="26" t="s">
        <v>30</v>
      </c>
      <c r="Q267" s="27">
        <f t="shared" ref="Q267:Q274" si="97">L267/J267</f>
        <v>11.66666667</v>
      </c>
      <c r="R267" s="23">
        <f t="shared" ref="R267:R274" si="98">0+((ABS(0.5-M267)*1))</f>
        <v>0.09</v>
      </c>
      <c r="S267" s="27">
        <f t="shared" ref="S267:S274" si="99">Q267*(R267+1)</f>
        <v>12.71666667</v>
      </c>
      <c r="T267" s="6" t="s">
        <v>40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6.5" customHeight="1">
      <c r="A268" s="7" t="b">
        <v>0</v>
      </c>
      <c r="B268" s="37" t="s">
        <v>104</v>
      </c>
      <c r="C268" s="37" t="s">
        <v>640</v>
      </c>
      <c r="D268" s="37" t="s">
        <v>641</v>
      </c>
      <c r="E268" s="37" t="s">
        <v>126</v>
      </c>
      <c r="F268" s="50" t="s">
        <v>642</v>
      </c>
      <c r="G268" s="37" t="s">
        <v>228</v>
      </c>
      <c r="H268" s="38">
        <v>150000.0</v>
      </c>
      <c r="I268" s="10" t="s">
        <v>27</v>
      </c>
      <c r="J268" s="46">
        <v>493.0</v>
      </c>
      <c r="K268" s="46">
        <v>332.0</v>
      </c>
      <c r="L268" s="46">
        <v>1800.0</v>
      </c>
      <c r="M268" s="45">
        <v>0.64</v>
      </c>
      <c r="N268" s="47">
        <v>2.57</v>
      </c>
      <c r="O268" s="43" t="s">
        <v>30</v>
      </c>
      <c r="P268" s="43" t="s">
        <v>30</v>
      </c>
      <c r="Q268" s="44">
        <f t="shared" si="97"/>
        <v>3.651115619</v>
      </c>
      <c r="R268" s="45">
        <f t="shared" si="98"/>
        <v>0.14</v>
      </c>
      <c r="S268" s="44">
        <f t="shared" si="99"/>
        <v>4.162271805</v>
      </c>
      <c r="T268" s="37" t="s">
        <v>88</v>
      </c>
      <c r="U268" s="37" t="s">
        <v>643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6.5" customHeight="1">
      <c r="A269" s="7" t="b">
        <v>0</v>
      </c>
      <c r="B269" s="37" t="s">
        <v>66</v>
      </c>
      <c r="C269" s="37" t="s">
        <v>640</v>
      </c>
      <c r="D269" s="37" t="s">
        <v>644</v>
      </c>
      <c r="E269" s="37" t="s">
        <v>126</v>
      </c>
      <c r="F269" s="49" t="s">
        <v>645</v>
      </c>
      <c r="G269" s="37" t="s">
        <v>228</v>
      </c>
      <c r="H269" s="38">
        <v>150000.0</v>
      </c>
      <c r="I269" s="34" t="s">
        <v>62</v>
      </c>
      <c r="J269" s="46">
        <v>800.0</v>
      </c>
      <c r="K269" s="46">
        <v>560.0</v>
      </c>
      <c r="L269" s="46">
        <v>2028.0</v>
      </c>
      <c r="M269" s="45">
        <v>0.65</v>
      </c>
      <c r="N269" s="47">
        <v>2.35</v>
      </c>
      <c r="O269" s="43" t="s">
        <v>30</v>
      </c>
      <c r="P269" s="43" t="s">
        <v>30</v>
      </c>
      <c r="Q269" s="44">
        <f t="shared" si="97"/>
        <v>2.535</v>
      </c>
      <c r="R269" s="45">
        <f t="shared" si="98"/>
        <v>0.15</v>
      </c>
      <c r="S269" s="44">
        <f t="shared" si="99"/>
        <v>2.91525</v>
      </c>
      <c r="T269" s="37" t="s">
        <v>88</v>
      </c>
      <c r="U269" s="37" t="s">
        <v>643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6.5" customHeight="1">
      <c r="A270" s="7" t="b">
        <v>0</v>
      </c>
      <c r="B270" s="37" t="s">
        <v>54</v>
      </c>
      <c r="C270" s="37" t="s">
        <v>640</v>
      </c>
      <c r="D270" s="37" t="s">
        <v>646</v>
      </c>
      <c r="E270" s="37" t="s">
        <v>126</v>
      </c>
      <c r="F270" s="50" t="s">
        <v>647</v>
      </c>
      <c r="G270" s="37" t="s">
        <v>228</v>
      </c>
      <c r="H270" s="38">
        <v>150000.0</v>
      </c>
      <c r="I270" s="34" t="s">
        <v>62</v>
      </c>
      <c r="J270" s="46">
        <v>551.0</v>
      </c>
      <c r="K270" s="46">
        <v>391.0</v>
      </c>
      <c r="L270" s="46">
        <v>2072.0</v>
      </c>
      <c r="M270" s="45">
        <v>0.65</v>
      </c>
      <c r="N270" s="47">
        <v>2.35</v>
      </c>
      <c r="O270" s="43" t="s">
        <v>30</v>
      </c>
      <c r="P270" s="43" t="s">
        <v>30</v>
      </c>
      <c r="Q270" s="44">
        <f t="shared" si="97"/>
        <v>3.760435572</v>
      </c>
      <c r="R270" s="45">
        <f t="shared" si="98"/>
        <v>0.15</v>
      </c>
      <c r="S270" s="44">
        <f t="shared" si="99"/>
        <v>4.324500907</v>
      </c>
      <c r="T270" s="37" t="s">
        <v>88</v>
      </c>
      <c r="U270" s="37" t="s">
        <v>643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6.5" customHeight="1">
      <c r="A271" s="7" t="b">
        <v>0</v>
      </c>
      <c r="B271" s="37" t="s">
        <v>648</v>
      </c>
      <c r="C271" s="37" t="s">
        <v>640</v>
      </c>
      <c r="D271" s="37" t="s">
        <v>649</v>
      </c>
      <c r="E271" s="37" t="s">
        <v>126</v>
      </c>
      <c r="F271" s="50" t="s">
        <v>650</v>
      </c>
      <c r="G271" s="37" t="s">
        <v>228</v>
      </c>
      <c r="H271" s="38">
        <v>320000.0</v>
      </c>
      <c r="I271" s="34" t="s">
        <v>62</v>
      </c>
      <c r="J271" s="46">
        <v>670.0</v>
      </c>
      <c r="K271" s="46">
        <v>461.0</v>
      </c>
      <c r="L271" s="46">
        <v>2400.0</v>
      </c>
      <c r="M271" s="45">
        <v>0.5</v>
      </c>
      <c r="N271" s="47">
        <v>2.41</v>
      </c>
      <c r="O271" s="43" t="s">
        <v>29</v>
      </c>
      <c r="P271" s="43" t="s">
        <v>30</v>
      </c>
      <c r="Q271" s="44">
        <f t="shared" si="97"/>
        <v>3.582089552</v>
      </c>
      <c r="R271" s="45">
        <f t="shared" si="98"/>
        <v>0</v>
      </c>
      <c r="S271" s="44">
        <f t="shared" si="99"/>
        <v>3.582089552</v>
      </c>
      <c r="T271" s="37" t="s">
        <v>88</v>
      </c>
      <c r="U271" s="37" t="s">
        <v>643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6.5" customHeight="1">
      <c r="A272" s="7" t="b">
        <v>0</v>
      </c>
      <c r="B272" s="6" t="s">
        <v>473</v>
      </c>
      <c r="C272" s="6" t="s">
        <v>640</v>
      </c>
      <c r="D272" s="6" t="s">
        <v>651</v>
      </c>
      <c r="E272" s="6" t="s">
        <v>226</v>
      </c>
      <c r="F272" s="17" t="s">
        <v>32</v>
      </c>
      <c r="G272" s="6" t="s">
        <v>228</v>
      </c>
      <c r="H272" s="19">
        <v>9000.0</v>
      </c>
      <c r="I272" s="20" t="s">
        <v>33</v>
      </c>
      <c r="J272" s="22">
        <v>37.0</v>
      </c>
      <c r="K272" s="22">
        <v>40.0</v>
      </c>
      <c r="L272" s="22">
        <v>1698.0</v>
      </c>
      <c r="M272" s="23">
        <v>0.52</v>
      </c>
      <c r="N272" s="24">
        <v>0.66</v>
      </c>
      <c r="O272" s="26" t="s">
        <v>71</v>
      </c>
      <c r="P272" s="26" t="s">
        <v>77</v>
      </c>
      <c r="Q272" s="27">
        <f t="shared" si="97"/>
        <v>45.89189189</v>
      </c>
      <c r="R272" s="23">
        <f t="shared" si="98"/>
        <v>0.02</v>
      </c>
      <c r="S272" s="27">
        <f t="shared" si="99"/>
        <v>46.80972973</v>
      </c>
      <c r="T272" s="6" t="s">
        <v>137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6.5" customHeight="1">
      <c r="A273" s="7" t="b">
        <v>0</v>
      </c>
      <c r="B273" s="6" t="s">
        <v>618</v>
      </c>
      <c r="C273" s="6" t="s">
        <v>640</v>
      </c>
      <c r="D273" s="6" t="s">
        <v>652</v>
      </c>
      <c r="E273" s="6" t="s">
        <v>226</v>
      </c>
      <c r="F273" s="17" t="s">
        <v>653</v>
      </c>
      <c r="G273" s="6" t="s">
        <v>228</v>
      </c>
      <c r="H273" s="19">
        <v>15000.0</v>
      </c>
      <c r="I273" s="10" t="s">
        <v>27</v>
      </c>
      <c r="J273" s="22">
        <v>63.0</v>
      </c>
      <c r="K273" s="22">
        <v>44.0</v>
      </c>
      <c r="L273" s="22">
        <v>1676.0</v>
      </c>
      <c r="M273" s="23">
        <v>0.43</v>
      </c>
      <c r="N273" s="24">
        <v>0.66</v>
      </c>
      <c r="O273" s="26" t="s">
        <v>29</v>
      </c>
      <c r="P273" s="26" t="s">
        <v>77</v>
      </c>
      <c r="Q273" s="27">
        <f t="shared" si="97"/>
        <v>26.6031746</v>
      </c>
      <c r="R273" s="23">
        <f t="shared" si="98"/>
        <v>0.07</v>
      </c>
      <c r="S273" s="27">
        <f t="shared" si="99"/>
        <v>28.46539683</v>
      </c>
      <c r="T273" s="6" t="s">
        <v>137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6.5" customHeight="1">
      <c r="A274" s="7" t="b">
        <v>0</v>
      </c>
      <c r="B274" s="6" t="s">
        <v>213</v>
      </c>
      <c r="C274" s="6" t="s">
        <v>640</v>
      </c>
      <c r="D274" s="6" t="s">
        <v>654</v>
      </c>
      <c r="E274" s="6" t="s">
        <v>226</v>
      </c>
      <c r="F274" s="17" t="s">
        <v>655</v>
      </c>
      <c r="G274" s="6" t="s">
        <v>228</v>
      </c>
      <c r="H274" s="19">
        <v>7500.0</v>
      </c>
      <c r="I274" s="34" t="s">
        <v>62</v>
      </c>
      <c r="J274" s="22">
        <v>62.0</v>
      </c>
      <c r="K274" s="22">
        <v>72.0</v>
      </c>
      <c r="L274" s="22">
        <v>1477.0</v>
      </c>
      <c r="M274" s="23">
        <v>0.6</v>
      </c>
      <c r="N274" s="24">
        <v>1.23</v>
      </c>
      <c r="O274" s="26" t="s">
        <v>30</v>
      </c>
      <c r="P274" s="26" t="s">
        <v>30</v>
      </c>
      <c r="Q274" s="27">
        <f t="shared" si="97"/>
        <v>23.82258065</v>
      </c>
      <c r="R274" s="23">
        <f t="shared" si="98"/>
        <v>0.1</v>
      </c>
      <c r="S274" s="27">
        <f t="shared" si="99"/>
        <v>26.20483871</v>
      </c>
      <c r="T274" s="6" t="s">
        <v>137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6.5" customHeight="1">
      <c r="A275" s="7" t="b">
        <v>0</v>
      </c>
      <c r="B275" s="5" t="s">
        <v>213</v>
      </c>
      <c r="C275" s="5" t="s">
        <v>640</v>
      </c>
      <c r="D275" s="5" t="s">
        <v>656</v>
      </c>
      <c r="E275" s="5" t="s">
        <v>148</v>
      </c>
      <c r="F275" s="17" t="s">
        <v>657</v>
      </c>
      <c r="G275" s="5" t="s">
        <v>228</v>
      </c>
      <c r="H275" s="9"/>
      <c r="I275" s="48"/>
      <c r="J275" s="9"/>
      <c r="K275" s="9"/>
      <c r="L275" s="9"/>
      <c r="M275" s="28"/>
      <c r="N275" s="29"/>
      <c r="O275" s="30"/>
      <c r="P275" s="30"/>
      <c r="Q275" s="16"/>
      <c r="R275" s="18"/>
      <c r="S275" s="16"/>
      <c r="T275" s="5" t="s">
        <v>103</v>
      </c>
      <c r="U275" s="21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6.5" customHeight="1">
      <c r="A276" s="7" t="b">
        <v>0</v>
      </c>
      <c r="B276" s="5" t="s">
        <v>658</v>
      </c>
      <c r="C276" s="5" t="s">
        <v>640</v>
      </c>
      <c r="D276" s="5" t="s">
        <v>659</v>
      </c>
      <c r="E276" s="5" t="s">
        <v>56</v>
      </c>
      <c r="F276" s="17" t="s">
        <v>660</v>
      </c>
      <c r="G276" s="5" t="s">
        <v>228</v>
      </c>
      <c r="H276" s="9"/>
      <c r="I276" s="48"/>
      <c r="J276" s="9"/>
      <c r="K276" s="9"/>
      <c r="L276" s="9"/>
      <c r="M276" s="28"/>
      <c r="N276" s="29"/>
      <c r="O276" s="30"/>
      <c r="P276" s="30"/>
      <c r="Q276" s="16"/>
      <c r="R276" s="18"/>
      <c r="S276" s="16"/>
      <c r="T276" s="5" t="s">
        <v>103</v>
      </c>
      <c r="U276" s="21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6.5" customHeight="1">
      <c r="A277" s="7" t="b">
        <v>0</v>
      </c>
      <c r="B277" s="6" t="s">
        <v>168</v>
      </c>
      <c r="C277" s="6" t="s">
        <v>640</v>
      </c>
      <c r="D277" s="6" t="s">
        <v>661</v>
      </c>
      <c r="E277" s="6" t="s">
        <v>56</v>
      </c>
      <c r="F277" s="17" t="s">
        <v>662</v>
      </c>
      <c r="G277" s="6" t="s">
        <v>228</v>
      </c>
      <c r="H277" s="19">
        <v>10000.0</v>
      </c>
      <c r="I277" s="34" t="s">
        <v>62</v>
      </c>
      <c r="J277" s="22">
        <v>91.0</v>
      </c>
      <c r="K277" s="22">
        <v>93.0</v>
      </c>
      <c r="L277" s="22">
        <v>1955.0</v>
      </c>
      <c r="M277" s="23">
        <v>0.61</v>
      </c>
      <c r="N277" s="24">
        <v>1.49</v>
      </c>
      <c r="O277" s="26" t="s">
        <v>30</v>
      </c>
      <c r="P277" s="26" t="s">
        <v>30</v>
      </c>
      <c r="Q277" s="27">
        <f t="shared" ref="Q277:Q284" si="100">L277/J277</f>
        <v>21.48351648</v>
      </c>
      <c r="R277" s="23">
        <f t="shared" ref="R277:R284" si="101">0+((ABS(0.5-M277)*1))</f>
        <v>0.11</v>
      </c>
      <c r="S277" s="27">
        <f t="shared" ref="S277:S284" si="102">Q277*(R277+1)</f>
        <v>23.8467033</v>
      </c>
      <c r="T277" s="6" t="s">
        <v>72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6.5" customHeight="1">
      <c r="A278" s="7" t="b">
        <v>0</v>
      </c>
      <c r="B278" s="6" t="s">
        <v>266</v>
      </c>
      <c r="C278" s="6" t="s">
        <v>640</v>
      </c>
      <c r="D278" s="6" t="s">
        <v>663</v>
      </c>
      <c r="E278" s="6" t="s">
        <v>56</v>
      </c>
      <c r="F278" s="8" t="s">
        <v>336</v>
      </c>
      <c r="G278" s="6" t="s">
        <v>228</v>
      </c>
      <c r="H278" s="19">
        <v>30000.0</v>
      </c>
      <c r="I278" s="20" t="s">
        <v>33</v>
      </c>
      <c r="J278" s="22">
        <v>182.0</v>
      </c>
      <c r="K278" s="22">
        <v>118.0</v>
      </c>
      <c r="L278" s="22">
        <v>2403.0</v>
      </c>
      <c r="M278" s="23">
        <v>0.62</v>
      </c>
      <c r="N278" s="24">
        <v>1.6</v>
      </c>
      <c r="O278" s="26" t="s">
        <v>30</v>
      </c>
      <c r="P278" s="26" t="s">
        <v>30</v>
      </c>
      <c r="Q278" s="27">
        <f t="shared" si="100"/>
        <v>13.2032967</v>
      </c>
      <c r="R278" s="23">
        <f t="shared" si="101"/>
        <v>0.12</v>
      </c>
      <c r="S278" s="27">
        <f t="shared" si="102"/>
        <v>14.78769231</v>
      </c>
      <c r="T278" s="6" t="s">
        <v>40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6.5" customHeight="1">
      <c r="A279" s="7" t="b">
        <v>0</v>
      </c>
      <c r="B279" s="6" t="s">
        <v>648</v>
      </c>
      <c r="C279" s="6" t="s">
        <v>640</v>
      </c>
      <c r="D279" s="6" t="s">
        <v>663</v>
      </c>
      <c r="E279" s="6" t="s">
        <v>56</v>
      </c>
      <c r="F279" s="8" t="s">
        <v>664</v>
      </c>
      <c r="G279" s="6" t="s">
        <v>228</v>
      </c>
      <c r="H279" s="19">
        <v>15000.0</v>
      </c>
      <c r="I279" s="20" t="s">
        <v>33</v>
      </c>
      <c r="J279" s="22">
        <v>212.0</v>
      </c>
      <c r="K279" s="22">
        <v>149.0</v>
      </c>
      <c r="L279" s="22">
        <v>2624.0</v>
      </c>
      <c r="M279" s="23">
        <v>0.61</v>
      </c>
      <c r="N279" s="24">
        <v>2.0</v>
      </c>
      <c r="O279" s="26" t="s">
        <v>30</v>
      </c>
      <c r="P279" s="26" t="s">
        <v>30</v>
      </c>
      <c r="Q279" s="27">
        <f t="shared" si="100"/>
        <v>12.37735849</v>
      </c>
      <c r="R279" s="23">
        <f t="shared" si="101"/>
        <v>0.11</v>
      </c>
      <c r="S279" s="27">
        <f t="shared" si="102"/>
        <v>13.73886792</v>
      </c>
      <c r="T279" s="6" t="s">
        <v>40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6.5" customHeight="1">
      <c r="A280" s="7" t="b">
        <v>0</v>
      </c>
      <c r="B280" s="6" t="s">
        <v>82</v>
      </c>
      <c r="C280" s="6" t="s">
        <v>640</v>
      </c>
      <c r="D280" s="6" t="s">
        <v>663</v>
      </c>
      <c r="E280" s="6" t="s">
        <v>43</v>
      </c>
      <c r="F280" s="8" t="s">
        <v>303</v>
      </c>
      <c r="G280" s="6" t="s">
        <v>228</v>
      </c>
      <c r="H280" s="19">
        <v>17000.0</v>
      </c>
      <c r="I280" s="20" t="s">
        <v>33</v>
      </c>
      <c r="J280" s="22">
        <v>198.0</v>
      </c>
      <c r="K280" s="22">
        <v>142.0</v>
      </c>
      <c r="L280" s="22">
        <v>2965.0</v>
      </c>
      <c r="M280" s="23">
        <v>0.6</v>
      </c>
      <c r="N280" s="24">
        <v>2.0</v>
      </c>
      <c r="O280" s="26" t="s">
        <v>30</v>
      </c>
      <c r="P280" s="26" t="s">
        <v>30</v>
      </c>
      <c r="Q280" s="27">
        <f t="shared" si="100"/>
        <v>14.97474747</v>
      </c>
      <c r="R280" s="23">
        <f t="shared" si="101"/>
        <v>0.1</v>
      </c>
      <c r="S280" s="27">
        <f t="shared" si="102"/>
        <v>16.47222222</v>
      </c>
      <c r="T280" s="6" t="s">
        <v>40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6.5" customHeight="1">
      <c r="A281" s="7" t="b">
        <v>0</v>
      </c>
      <c r="B281" s="37" t="s">
        <v>270</v>
      </c>
      <c r="C281" s="37" t="s">
        <v>640</v>
      </c>
      <c r="D281" s="54" t="s">
        <v>663</v>
      </c>
      <c r="E281" s="37" t="s">
        <v>69</v>
      </c>
      <c r="F281" s="25" t="s">
        <v>665</v>
      </c>
      <c r="G281" s="37" t="s">
        <v>228</v>
      </c>
      <c r="H281" s="38">
        <v>43000.0</v>
      </c>
      <c r="I281" s="10" t="s">
        <v>27</v>
      </c>
      <c r="J281" s="46">
        <v>221.0</v>
      </c>
      <c r="K281" s="46">
        <v>158.0</v>
      </c>
      <c r="L281" s="46">
        <v>2800.0</v>
      </c>
      <c r="M281" s="45">
        <v>0.61</v>
      </c>
      <c r="N281" s="47">
        <v>2.0</v>
      </c>
      <c r="O281" s="43" t="s">
        <v>30</v>
      </c>
      <c r="P281" s="43" t="s">
        <v>30</v>
      </c>
      <c r="Q281" s="44">
        <f t="shared" si="100"/>
        <v>12.66968326</v>
      </c>
      <c r="R281" s="45">
        <f t="shared" si="101"/>
        <v>0.11</v>
      </c>
      <c r="S281" s="44">
        <f t="shared" si="102"/>
        <v>14.06334842</v>
      </c>
      <c r="T281" s="37" t="s">
        <v>88</v>
      </c>
      <c r="U281" s="37" t="s">
        <v>89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6.5" customHeight="1">
      <c r="A282" s="7" t="b">
        <v>0</v>
      </c>
      <c r="B282" s="6" t="s">
        <v>116</v>
      </c>
      <c r="C282" s="6" t="s">
        <v>640</v>
      </c>
      <c r="D282" s="6" t="s">
        <v>663</v>
      </c>
      <c r="E282" s="6" t="s">
        <v>189</v>
      </c>
      <c r="F282" s="25" t="s">
        <v>666</v>
      </c>
      <c r="G282" s="6" t="s">
        <v>228</v>
      </c>
      <c r="H282" s="55">
        <v>20000.0</v>
      </c>
      <c r="I282" s="10" t="s">
        <v>27</v>
      </c>
      <c r="J282" s="22">
        <v>306.0</v>
      </c>
      <c r="K282" s="22">
        <v>295.0</v>
      </c>
      <c r="L282" s="22">
        <v>3047.0</v>
      </c>
      <c r="M282" s="23">
        <v>0.65</v>
      </c>
      <c r="N282" s="24">
        <v>2.0</v>
      </c>
      <c r="O282" s="26" t="s">
        <v>30</v>
      </c>
      <c r="P282" s="26" t="s">
        <v>30</v>
      </c>
      <c r="Q282" s="27">
        <f t="shared" si="100"/>
        <v>9.95751634</v>
      </c>
      <c r="R282" s="23">
        <f t="shared" si="101"/>
        <v>0.15</v>
      </c>
      <c r="S282" s="27">
        <f t="shared" si="102"/>
        <v>11.45114379</v>
      </c>
      <c r="T282" s="6" t="s">
        <v>40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6.5" customHeight="1">
      <c r="A283" s="7" t="b">
        <v>0</v>
      </c>
      <c r="B283" s="6" t="s">
        <v>196</v>
      </c>
      <c r="C283" s="6" t="s">
        <v>640</v>
      </c>
      <c r="D283" s="6" t="s">
        <v>663</v>
      </c>
      <c r="E283" s="6" t="s">
        <v>189</v>
      </c>
      <c r="F283" s="36" t="s">
        <v>271</v>
      </c>
      <c r="G283" s="6" t="s">
        <v>228</v>
      </c>
      <c r="H283" s="19">
        <v>30000.0</v>
      </c>
      <c r="I283" s="20" t="s">
        <v>33</v>
      </c>
      <c r="J283" s="22">
        <v>306.0</v>
      </c>
      <c r="K283" s="22">
        <v>295.0</v>
      </c>
      <c r="L283" s="22">
        <v>3117.0</v>
      </c>
      <c r="M283" s="23">
        <v>0.62</v>
      </c>
      <c r="N283" s="24">
        <v>2.0</v>
      </c>
      <c r="O283" s="26" t="s">
        <v>30</v>
      </c>
      <c r="P283" s="26" t="s">
        <v>30</v>
      </c>
      <c r="Q283" s="27">
        <f t="shared" si="100"/>
        <v>10.18627451</v>
      </c>
      <c r="R283" s="23">
        <f t="shared" si="101"/>
        <v>0.12</v>
      </c>
      <c r="S283" s="27">
        <f t="shared" si="102"/>
        <v>11.40862745</v>
      </c>
      <c r="T283" s="6" t="s">
        <v>40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6.5" customHeight="1">
      <c r="A284" s="7" t="b">
        <v>0</v>
      </c>
      <c r="B284" s="6" t="s">
        <v>48</v>
      </c>
      <c r="C284" s="6" t="s">
        <v>640</v>
      </c>
      <c r="D284" s="6" t="s">
        <v>663</v>
      </c>
      <c r="E284" s="6" t="s">
        <v>189</v>
      </c>
      <c r="F284" s="36" t="s">
        <v>667</v>
      </c>
      <c r="G284" s="6" t="s">
        <v>228</v>
      </c>
      <c r="H284" s="19">
        <v>35000.0</v>
      </c>
      <c r="I284" s="10" t="s">
        <v>27</v>
      </c>
      <c r="J284" s="22">
        <v>315.0</v>
      </c>
      <c r="K284" s="22">
        <v>310.0</v>
      </c>
      <c r="L284" s="22">
        <v>3188.0</v>
      </c>
      <c r="M284" s="23">
        <v>0.62</v>
      </c>
      <c r="N284" s="24">
        <v>2.0</v>
      </c>
      <c r="O284" s="26" t="s">
        <v>30</v>
      </c>
      <c r="P284" s="26" t="s">
        <v>30</v>
      </c>
      <c r="Q284" s="27">
        <f t="shared" si="100"/>
        <v>10.12063492</v>
      </c>
      <c r="R284" s="23">
        <f t="shared" si="101"/>
        <v>0.12</v>
      </c>
      <c r="S284" s="27">
        <f t="shared" si="102"/>
        <v>11.33511111</v>
      </c>
      <c r="T284" s="6" t="s">
        <v>137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6.5" customHeight="1">
      <c r="A285" s="7" t="b">
        <v>0</v>
      </c>
      <c r="B285" s="5" t="s">
        <v>618</v>
      </c>
      <c r="C285" s="5" t="s">
        <v>640</v>
      </c>
      <c r="D285" s="5" t="s">
        <v>668</v>
      </c>
      <c r="E285" s="5" t="s">
        <v>56</v>
      </c>
      <c r="F285" s="8" t="s">
        <v>669</v>
      </c>
      <c r="G285" s="5" t="s">
        <v>228</v>
      </c>
      <c r="H285" s="9"/>
      <c r="I285" s="48"/>
      <c r="J285" s="9"/>
      <c r="K285" s="9"/>
      <c r="L285" s="9"/>
      <c r="M285" s="28"/>
      <c r="N285" s="29"/>
      <c r="O285" s="30"/>
      <c r="P285" s="30"/>
      <c r="Q285" s="16"/>
      <c r="R285" s="18"/>
      <c r="S285" s="16"/>
      <c r="T285" s="5" t="s">
        <v>34</v>
      </c>
      <c r="U285" s="21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6.5" customHeight="1">
      <c r="A286" s="7" t="b">
        <v>0</v>
      </c>
      <c r="B286" s="6" t="s">
        <v>58</v>
      </c>
      <c r="C286" s="6" t="s">
        <v>640</v>
      </c>
      <c r="D286" s="6" t="s">
        <v>670</v>
      </c>
      <c r="E286" s="6" t="s">
        <v>43</v>
      </c>
      <c r="F286" s="17" t="s">
        <v>671</v>
      </c>
      <c r="G286" s="6" t="s">
        <v>228</v>
      </c>
      <c r="H286" s="19">
        <v>30000.0</v>
      </c>
      <c r="I286" s="20" t="s">
        <v>33</v>
      </c>
      <c r="J286" s="22">
        <v>134.0</v>
      </c>
      <c r="K286" s="22">
        <v>232.0</v>
      </c>
      <c r="L286" s="22">
        <v>3336.0</v>
      </c>
      <c r="M286" s="23">
        <v>0.5</v>
      </c>
      <c r="N286" s="24" t="s">
        <v>211</v>
      </c>
      <c r="O286" s="26" t="s">
        <v>29</v>
      </c>
      <c r="P286" s="26" t="s">
        <v>77</v>
      </c>
      <c r="Q286" s="27">
        <f>L286/J286</f>
        <v>24.89552239</v>
      </c>
      <c r="R286" s="23">
        <f>0+((ABS(0.5-M286)*1))</f>
        <v>0</v>
      </c>
      <c r="S286" s="27">
        <f>Q286*(R286+1)</f>
        <v>24.89552239</v>
      </c>
      <c r="T286" s="6" t="s">
        <v>40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6.5" customHeight="1">
      <c r="A287" s="7" t="b">
        <v>0</v>
      </c>
      <c r="B287" s="5" t="s">
        <v>334</v>
      </c>
      <c r="C287" s="5" t="s">
        <v>640</v>
      </c>
      <c r="D287" s="5" t="s">
        <v>672</v>
      </c>
      <c r="E287" s="5" t="s">
        <v>673</v>
      </c>
      <c r="F287" s="17" t="s">
        <v>32</v>
      </c>
      <c r="G287" s="5" t="s">
        <v>228</v>
      </c>
      <c r="H287" s="9"/>
      <c r="I287" s="19"/>
      <c r="J287" s="9"/>
      <c r="K287" s="9"/>
      <c r="L287" s="9"/>
      <c r="M287" s="28"/>
      <c r="N287" s="29"/>
      <c r="O287" s="30"/>
      <c r="P287" s="30"/>
      <c r="Q287" s="16"/>
      <c r="R287" s="18"/>
      <c r="S287" s="16"/>
      <c r="T287" s="5" t="s">
        <v>34</v>
      </c>
      <c r="U287" s="21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6.5" customHeight="1">
      <c r="A288" s="7" t="b">
        <v>0</v>
      </c>
      <c r="B288" s="6" t="s">
        <v>66</v>
      </c>
      <c r="C288" s="6" t="s">
        <v>640</v>
      </c>
      <c r="D288" s="6" t="s">
        <v>674</v>
      </c>
      <c r="E288" s="6" t="s">
        <v>148</v>
      </c>
      <c r="F288" s="25" t="s">
        <v>675</v>
      </c>
      <c r="G288" s="6" t="s">
        <v>228</v>
      </c>
      <c r="H288" s="19">
        <v>450000.0</v>
      </c>
      <c r="I288" s="34" t="s">
        <v>62</v>
      </c>
      <c r="J288" s="22">
        <v>276.0</v>
      </c>
      <c r="K288" s="22">
        <v>217.0</v>
      </c>
      <c r="L288" s="22">
        <v>2712.0</v>
      </c>
      <c r="M288" s="23">
        <v>0.42</v>
      </c>
      <c r="N288" s="24">
        <v>2.98</v>
      </c>
      <c r="O288" s="26" t="s">
        <v>29</v>
      </c>
      <c r="P288" s="26" t="s">
        <v>77</v>
      </c>
      <c r="Q288" s="27">
        <f t="shared" ref="Q288:Q289" si="103">L288/J288</f>
        <v>9.826086957</v>
      </c>
      <c r="R288" s="23">
        <f t="shared" ref="R288:R289" si="104">0+((ABS(0.5-M288)*1))</f>
        <v>0.08</v>
      </c>
      <c r="S288" s="27">
        <f t="shared" ref="S288:S289" si="105">Q288*(R288+1)</f>
        <v>10.61217391</v>
      </c>
      <c r="T288" s="6" t="s">
        <v>40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6.5" customHeight="1">
      <c r="A289" s="7" t="b">
        <v>0</v>
      </c>
      <c r="B289" s="6" t="s">
        <v>268</v>
      </c>
      <c r="C289" s="6" t="s">
        <v>640</v>
      </c>
      <c r="D289" s="6" t="s">
        <v>674</v>
      </c>
      <c r="E289" s="6" t="s">
        <v>148</v>
      </c>
      <c r="F289" s="25" t="s">
        <v>676</v>
      </c>
      <c r="G289" s="6" t="s">
        <v>228</v>
      </c>
      <c r="H289" s="19">
        <v>325000.0</v>
      </c>
      <c r="I289" s="34" t="s">
        <v>62</v>
      </c>
      <c r="J289" s="22">
        <v>290.0</v>
      </c>
      <c r="K289" s="22">
        <v>225.0</v>
      </c>
      <c r="L289" s="22">
        <v>2800.0</v>
      </c>
      <c r="M289" s="23">
        <v>0.43</v>
      </c>
      <c r="N289" s="24">
        <v>3.18</v>
      </c>
      <c r="O289" s="26" t="s">
        <v>29</v>
      </c>
      <c r="P289" s="26" t="s">
        <v>77</v>
      </c>
      <c r="Q289" s="27">
        <f t="shared" si="103"/>
        <v>9.655172414</v>
      </c>
      <c r="R289" s="23">
        <f t="shared" si="104"/>
        <v>0.07</v>
      </c>
      <c r="S289" s="27">
        <f t="shared" si="105"/>
        <v>10.33103448</v>
      </c>
      <c r="T289" s="6" t="s">
        <v>122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6.5" customHeight="1">
      <c r="A290" s="7" t="b">
        <v>0</v>
      </c>
      <c r="B290" s="5" t="s">
        <v>268</v>
      </c>
      <c r="C290" s="5" t="s">
        <v>640</v>
      </c>
      <c r="D290" s="5" t="s">
        <v>677</v>
      </c>
      <c r="E290" s="5" t="s">
        <v>148</v>
      </c>
      <c r="F290" s="36" t="s">
        <v>271</v>
      </c>
      <c r="G290" s="5" t="s">
        <v>228</v>
      </c>
      <c r="H290" s="9">
        <v>600000.0</v>
      </c>
      <c r="I290" s="35" t="s">
        <v>678</v>
      </c>
      <c r="J290" s="9"/>
      <c r="K290" s="9"/>
      <c r="L290" s="9"/>
      <c r="M290" s="28"/>
      <c r="N290" s="29"/>
      <c r="O290" s="30"/>
      <c r="P290" s="30"/>
      <c r="Q290" s="16"/>
      <c r="R290" s="18"/>
      <c r="S290" s="16"/>
      <c r="T290" s="5" t="s">
        <v>256</v>
      </c>
      <c r="U290" s="21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6.5" customHeight="1">
      <c r="A291" s="7" t="b">
        <v>0</v>
      </c>
      <c r="B291" s="6" t="s">
        <v>473</v>
      </c>
      <c r="C291" s="6" t="s">
        <v>640</v>
      </c>
      <c r="D291" s="6" t="s">
        <v>679</v>
      </c>
      <c r="E291" s="6" t="s">
        <v>56</v>
      </c>
      <c r="F291" s="8" t="s">
        <v>680</v>
      </c>
      <c r="G291" s="6" t="s">
        <v>228</v>
      </c>
      <c r="H291" s="19">
        <v>15000.0</v>
      </c>
      <c r="I291" s="20" t="s">
        <v>33</v>
      </c>
      <c r="J291" s="22">
        <v>160.0</v>
      </c>
      <c r="K291" s="22">
        <v>156.0</v>
      </c>
      <c r="L291" s="22">
        <v>2870.0</v>
      </c>
      <c r="M291" s="23">
        <v>0.62</v>
      </c>
      <c r="N291" s="24">
        <v>2.26</v>
      </c>
      <c r="O291" s="26" t="s">
        <v>30</v>
      </c>
      <c r="P291" s="26" t="s">
        <v>30</v>
      </c>
      <c r="Q291" s="27">
        <f t="shared" ref="Q291:Q304" si="106">L291/J291</f>
        <v>17.9375</v>
      </c>
      <c r="R291" s="23">
        <f t="shared" ref="R291:R304" si="107">0+((ABS(0.5-M291)*1))</f>
        <v>0.12</v>
      </c>
      <c r="S291" s="27">
        <f t="shared" ref="S291:S304" si="108">Q291*(R291+1)</f>
        <v>20.09</v>
      </c>
      <c r="T291" s="6" t="s">
        <v>137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6.5" customHeight="1">
      <c r="A292" s="7" t="b">
        <v>0</v>
      </c>
      <c r="B292" s="6" t="s">
        <v>116</v>
      </c>
      <c r="C292" s="6" t="s">
        <v>640</v>
      </c>
      <c r="D292" s="6" t="s">
        <v>681</v>
      </c>
      <c r="E292" s="6" t="s">
        <v>114</v>
      </c>
      <c r="F292" s="25" t="s">
        <v>284</v>
      </c>
      <c r="G292" s="6" t="s">
        <v>228</v>
      </c>
      <c r="H292" s="19">
        <v>400000.0</v>
      </c>
      <c r="I292" s="34" t="s">
        <v>62</v>
      </c>
      <c r="J292" s="22">
        <v>550.0</v>
      </c>
      <c r="K292" s="22">
        <v>470.0</v>
      </c>
      <c r="L292" s="22">
        <v>4700.0</v>
      </c>
      <c r="M292" s="23">
        <v>0.58</v>
      </c>
      <c r="N292" s="24">
        <v>3.5</v>
      </c>
      <c r="O292" s="26" t="s">
        <v>29</v>
      </c>
      <c r="P292" s="26" t="s">
        <v>30</v>
      </c>
      <c r="Q292" s="27">
        <f t="shared" si="106"/>
        <v>8.545454545</v>
      </c>
      <c r="R292" s="23">
        <f t="shared" si="107"/>
        <v>0.08</v>
      </c>
      <c r="S292" s="27">
        <f t="shared" si="108"/>
        <v>9.229090909</v>
      </c>
      <c r="T292" s="6" t="s">
        <v>40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6.5" customHeight="1">
      <c r="A293" s="7" t="b">
        <v>0</v>
      </c>
      <c r="B293" s="6" t="s">
        <v>146</v>
      </c>
      <c r="C293" s="6" t="s">
        <v>640</v>
      </c>
      <c r="D293" s="6" t="s">
        <v>682</v>
      </c>
      <c r="E293" s="6" t="s">
        <v>24</v>
      </c>
      <c r="F293" s="25" t="s">
        <v>683</v>
      </c>
      <c r="G293" s="6" t="s">
        <v>228</v>
      </c>
      <c r="H293" s="19">
        <v>55000.0</v>
      </c>
      <c r="I293" s="20" t="s">
        <v>33</v>
      </c>
      <c r="J293" s="22">
        <v>247.0</v>
      </c>
      <c r="K293" s="22">
        <v>161.0</v>
      </c>
      <c r="L293" s="22">
        <v>2756.0</v>
      </c>
      <c r="M293" s="23">
        <v>0.5</v>
      </c>
      <c r="N293" s="24">
        <v>2.0</v>
      </c>
      <c r="O293" s="26" t="s">
        <v>29</v>
      </c>
      <c r="P293" s="26" t="s">
        <v>30</v>
      </c>
      <c r="Q293" s="27">
        <f t="shared" si="106"/>
        <v>11.15789474</v>
      </c>
      <c r="R293" s="23">
        <f t="shared" si="107"/>
        <v>0</v>
      </c>
      <c r="S293" s="27">
        <f t="shared" si="108"/>
        <v>11.15789474</v>
      </c>
      <c r="T293" s="6" t="s">
        <v>40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6.5" customHeight="1">
      <c r="A294" s="7" t="b">
        <v>0</v>
      </c>
      <c r="B294" s="6" t="s">
        <v>334</v>
      </c>
      <c r="C294" s="6" t="s">
        <v>640</v>
      </c>
      <c r="D294" s="6" t="s">
        <v>684</v>
      </c>
      <c r="E294" s="6" t="s">
        <v>38</v>
      </c>
      <c r="F294" s="17" t="s">
        <v>685</v>
      </c>
      <c r="G294" s="6" t="s">
        <v>228</v>
      </c>
      <c r="H294" s="19">
        <v>40000.0</v>
      </c>
      <c r="I294" s="20" t="s">
        <v>33</v>
      </c>
      <c r="J294" s="22">
        <v>70.0</v>
      </c>
      <c r="K294" s="22">
        <v>48.0</v>
      </c>
      <c r="L294" s="22">
        <v>1565.0</v>
      </c>
      <c r="M294" s="23">
        <v>0.5</v>
      </c>
      <c r="N294" s="24">
        <v>0.79</v>
      </c>
      <c r="O294" s="26" t="s">
        <v>29</v>
      </c>
      <c r="P294" s="26" t="s">
        <v>30</v>
      </c>
      <c r="Q294" s="27">
        <f t="shared" si="106"/>
        <v>22.35714286</v>
      </c>
      <c r="R294" s="23">
        <f t="shared" si="107"/>
        <v>0</v>
      </c>
      <c r="S294" s="27">
        <f t="shared" si="108"/>
        <v>22.35714286</v>
      </c>
      <c r="T294" s="6" t="s">
        <v>40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6.5" customHeight="1">
      <c r="A295" s="7" t="b">
        <v>0</v>
      </c>
      <c r="B295" s="37" t="s">
        <v>372</v>
      </c>
      <c r="C295" s="37" t="s">
        <v>640</v>
      </c>
      <c r="D295" s="37" t="s">
        <v>686</v>
      </c>
      <c r="E295" s="37" t="s">
        <v>226</v>
      </c>
      <c r="F295" s="17" t="s">
        <v>32</v>
      </c>
      <c r="G295" s="37" t="s">
        <v>228</v>
      </c>
      <c r="H295" s="38">
        <v>15000.0</v>
      </c>
      <c r="I295" s="20" t="s">
        <v>33</v>
      </c>
      <c r="J295" s="46">
        <v>35.0</v>
      </c>
      <c r="K295" s="46">
        <v>23.0</v>
      </c>
      <c r="L295" s="46">
        <v>1168.0</v>
      </c>
      <c r="M295" s="45">
        <v>0.65</v>
      </c>
      <c r="N295" s="47">
        <v>0.36</v>
      </c>
      <c r="O295" s="43" t="s">
        <v>30</v>
      </c>
      <c r="P295" s="43" t="s">
        <v>30</v>
      </c>
      <c r="Q295" s="44">
        <f t="shared" si="106"/>
        <v>33.37142857</v>
      </c>
      <c r="R295" s="45">
        <f t="shared" si="107"/>
        <v>0.15</v>
      </c>
      <c r="S295" s="44">
        <f t="shared" si="108"/>
        <v>38.37714286</v>
      </c>
      <c r="T295" s="37" t="s">
        <v>88</v>
      </c>
      <c r="U295" s="37" t="s">
        <v>89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6.5" customHeight="1">
      <c r="A296" s="7" t="b">
        <v>0</v>
      </c>
      <c r="B296" s="6" t="s">
        <v>79</v>
      </c>
      <c r="C296" s="6" t="s">
        <v>687</v>
      </c>
      <c r="D296" s="6" t="s">
        <v>688</v>
      </c>
      <c r="E296" s="6" t="s">
        <v>306</v>
      </c>
      <c r="F296" s="36" t="s">
        <v>136</v>
      </c>
      <c r="G296" s="6" t="s">
        <v>639</v>
      </c>
      <c r="H296" s="19">
        <v>81000.0</v>
      </c>
      <c r="I296" s="10" t="s">
        <v>27</v>
      </c>
      <c r="J296" s="22">
        <v>577.0</v>
      </c>
      <c r="K296" s="22">
        <v>545.0</v>
      </c>
      <c r="L296" s="22">
        <v>4147.0</v>
      </c>
      <c r="M296" s="23">
        <v>0.53</v>
      </c>
      <c r="N296" s="24">
        <v>6.16</v>
      </c>
      <c r="O296" s="26" t="s">
        <v>29</v>
      </c>
      <c r="P296" s="26" t="s">
        <v>30</v>
      </c>
      <c r="Q296" s="27">
        <f t="shared" si="106"/>
        <v>7.187175043</v>
      </c>
      <c r="R296" s="23">
        <f t="shared" si="107"/>
        <v>0.03</v>
      </c>
      <c r="S296" s="27">
        <f t="shared" si="108"/>
        <v>7.402790295</v>
      </c>
      <c r="T296" s="6" t="s">
        <v>40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6.5" customHeight="1">
      <c r="A297" s="7" t="b">
        <v>0</v>
      </c>
      <c r="B297" s="6" t="s">
        <v>79</v>
      </c>
      <c r="C297" s="6" t="s">
        <v>687</v>
      </c>
      <c r="D297" s="6" t="s">
        <v>689</v>
      </c>
      <c r="E297" s="6" t="s">
        <v>366</v>
      </c>
      <c r="F297" s="36" t="s">
        <v>690</v>
      </c>
      <c r="G297" s="6" t="s">
        <v>639</v>
      </c>
      <c r="H297" s="19">
        <v>65000.0</v>
      </c>
      <c r="I297" s="20" t="s">
        <v>33</v>
      </c>
      <c r="J297" s="22">
        <v>577.0</v>
      </c>
      <c r="K297" s="22">
        <v>545.0</v>
      </c>
      <c r="L297" s="22">
        <v>4034.0</v>
      </c>
      <c r="M297" s="23">
        <v>0.55</v>
      </c>
      <c r="N297" s="24">
        <v>6.16</v>
      </c>
      <c r="O297" s="26" t="s">
        <v>29</v>
      </c>
      <c r="P297" s="26" t="s">
        <v>30</v>
      </c>
      <c r="Q297" s="27">
        <f t="shared" si="106"/>
        <v>6.991334489</v>
      </c>
      <c r="R297" s="23">
        <f t="shared" si="107"/>
        <v>0.05</v>
      </c>
      <c r="S297" s="27">
        <f t="shared" si="108"/>
        <v>7.340901213</v>
      </c>
      <c r="T297" s="6" t="s">
        <v>40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6.5" customHeight="1">
      <c r="A298" s="7" t="b">
        <v>0</v>
      </c>
      <c r="B298" s="6" t="s">
        <v>90</v>
      </c>
      <c r="C298" s="6" t="s">
        <v>691</v>
      </c>
      <c r="D298" s="6" t="s">
        <v>692</v>
      </c>
      <c r="E298" s="6" t="s">
        <v>43</v>
      </c>
      <c r="F298" s="25" t="s">
        <v>693</v>
      </c>
      <c r="G298" s="6" t="s">
        <v>694</v>
      </c>
      <c r="H298" s="19">
        <v>48000.0</v>
      </c>
      <c r="I298" s="10" t="s">
        <v>27</v>
      </c>
      <c r="J298" s="22">
        <v>201.0</v>
      </c>
      <c r="K298" s="22">
        <v>224.0</v>
      </c>
      <c r="L298" s="22">
        <v>2624.0</v>
      </c>
      <c r="M298" s="23">
        <v>0.63</v>
      </c>
      <c r="N298" s="24">
        <v>1.6</v>
      </c>
      <c r="O298" s="26" t="s">
        <v>30</v>
      </c>
      <c r="P298" s="26" t="s">
        <v>30</v>
      </c>
      <c r="Q298" s="27">
        <f t="shared" si="106"/>
        <v>13.05472637</v>
      </c>
      <c r="R298" s="23">
        <f t="shared" si="107"/>
        <v>0.13</v>
      </c>
      <c r="S298" s="27">
        <f t="shared" si="108"/>
        <v>14.7518408</v>
      </c>
      <c r="T298" s="6" t="s">
        <v>40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6.5" customHeight="1">
      <c r="A299" s="7" t="b">
        <v>0</v>
      </c>
      <c r="B299" s="6" t="s">
        <v>180</v>
      </c>
      <c r="C299" s="6" t="s">
        <v>691</v>
      </c>
      <c r="D299" s="6" t="s">
        <v>695</v>
      </c>
      <c r="E299" s="6" t="s">
        <v>189</v>
      </c>
      <c r="F299" s="25" t="s">
        <v>696</v>
      </c>
      <c r="G299" s="6" t="s">
        <v>694</v>
      </c>
      <c r="H299" s="19">
        <v>32000.0</v>
      </c>
      <c r="I299" s="10" t="s">
        <v>27</v>
      </c>
      <c r="J299" s="22">
        <v>271.0</v>
      </c>
      <c r="K299" s="22">
        <v>279.0</v>
      </c>
      <c r="L299" s="22">
        <v>3150.0</v>
      </c>
      <c r="M299" s="23">
        <v>0.63</v>
      </c>
      <c r="N299" s="24">
        <v>2.0</v>
      </c>
      <c r="O299" s="26" t="s">
        <v>30</v>
      </c>
      <c r="P299" s="26" t="s">
        <v>30</v>
      </c>
      <c r="Q299" s="27">
        <f t="shared" si="106"/>
        <v>11.62361624</v>
      </c>
      <c r="R299" s="23">
        <f t="shared" si="107"/>
        <v>0.13</v>
      </c>
      <c r="S299" s="27">
        <f t="shared" si="108"/>
        <v>13.13468635</v>
      </c>
      <c r="T299" s="6" t="s">
        <v>40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6.5" customHeight="1">
      <c r="A300" s="7" t="b">
        <v>0</v>
      </c>
      <c r="B300" s="6" t="s">
        <v>48</v>
      </c>
      <c r="C300" s="6" t="s">
        <v>691</v>
      </c>
      <c r="D300" s="6" t="s">
        <v>697</v>
      </c>
      <c r="E300" s="6" t="s">
        <v>153</v>
      </c>
      <c r="F300" s="36" t="s">
        <v>698</v>
      </c>
      <c r="G300" s="6" t="s">
        <v>694</v>
      </c>
      <c r="H300" s="19">
        <v>22000.0</v>
      </c>
      <c r="I300" s="10" t="s">
        <v>27</v>
      </c>
      <c r="J300" s="22">
        <v>641.0</v>
      </c>
      <c r="K300" s="22">
        <v>567.0</v>
      </c>
      <c r="L300" s="22">
        <v>4881.0</v>
      </c>
      <c r="M300" s="23">
        <v>0.5</v>
      </c>
      <c r="N300" s="24" t="s">
        <v>211</v>
      </c>
      <c r="O300" s="26" t="s">
        <v>71</v>
      </c>
      <c r="P300" s="26" t="s">
        <v>77</v>
      </c>
      <c r="Q300" s="27">
        <f t="shared" si="106"/>
        <v>7.614664587</v>
      </c>
      <c r="R300" s="23">
        <f t="shared" si="107"/>
        <v>0</v>
      </c>
      <c r="S300" s="27">
        <f t="shared" si="108"/>
        <v>7.614664587</v>
      </c>
      <c r="T300" s="6" t="s">
        <v>40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6.5" customHeight="1">
      <c r="A301" s="7" t="b">
        <v>0</v>
      </c>
      <c r="B301" s="6" t="s">
        <v>58</v>
      </c>
      <c r="C301" s="6" t="s">
        <v>691</v>
      </c>
      <c r="D301" s="6" t="s">
        <v>699</v>
      </c>
      <c r="E301" s="6" t="s">
        <v>231</v>
      </c>
      <c r="F301" s="36" t="s">
        <v>700</v>
      </c>
      <c r="G301" s="6" t="s">
        <v>694</v>
      </c>
      <c r="H301" s="19">
        <v>325000.0</v>
      </c>
      <c r="I301" s="10" t="s">
        <v>27</v>
      </c>
      <c r="J301" s="22">
        <v>671.0</v>
      </c>
      <c r="K301" s="22">
        <v>653.0</v>
      </c>
      <c r="L301" s="22">
        <v>5450.0</v>
      </c>
      <c r="M301" s="23">
        <v>0.4</v>
      </c>
      <c r="N301" s="24" t="s">
        <v>211</v>
      </c>
      <c r="O301" s="26" t="s">
        <v>29</v>
      </c>
      <c r="P301" s="26" t="s">
        <v>30</v>
      </c>
      <c r="Q301" s="27">
        <f t="shared" si="106"/>
        <v>8.122205663</v>
      </c>
      <c r="R301" s="23">
        <f t="shared" si="107"/>
        <v>0.1</v>
      </c>
      <c r="S301" s="27">
        <f t="shared" si="108"/>
        <v>8.93442623</v>
      </c>
      <c r="T301" s="6" t="s">
        <v>40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6.5" customHeight="1">
      <c r="A302" s="7" t="b">
        <v>0</v>
      </c>
      <c r="B302" s="6" t="s">
        <v>123</v>
      </c>
      <c r="C302" s="6" t="s">
        <v>691</v>
      </c>
      <c r="D302" s="6" t="s">
        <v>701</v>
      </c>
      <c r="E302" s="6" t="s">
        <v>189</v>
      </c>
      <c r="F302" s="25" t="s">
        <v>102</v>
      </c>
      <c r="G302" s="6" t="s">
        <v>694</v>
      </c>
      <c r="H302" s="19">
        <v>20000.0</v>
      </c>
      <c r="I302" s="34" t="s">
        <v>62</v>
      </c>
      <c r="J302" s="22">
        <v>275.0</v>
      </c>
      <c r="K302" s="22">
        <v>260.0</v>
      </c>
      <c r="L302" s="22">
        <v>3106.0</v>
      </c>
      <c r="M302" s="23">
        <v>0.64</v>
      </c>
      <c r="N302" s="24">
        <v>2.0</v>
      </c>
      <c r="O302" s="26" t="s">
        <v>30</v>
      </c>
      <c r="P302" s="26" t="s">
        <v>30</v>
      </c>
      <c r="Q302" s="27">
        <f t="shared" si="106"/>
        <v>11.29454545</v>
      </c>
      <c r="R302" s="23">
        <f t="shared" si="107"/>
        <v>0.14</v>
      </c>
      <c r="S302" s="27">
        <f t="shared" si="108"/>
        <v>12.87578182</v>
      </c>
      <c r="T302" s="6" t="s">
        <v>40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6.5" customHeight="1">
      <c r="A303" s="7" t="b">
        <v>0</v>
      </c>
      <c r="B303" s="6" t="s">
        <v>217</v>
      </c>
      <c r="C303" s="6" t="s">
        <v>702</v>
      </c>
      <c r="D303" s="6" t="s">
        <v>703</v>
      </c>
      <c r="E303" s="6" t="s">
        <v>60</v>
      </c>
      <c r="F303" s="50" t="s">
        <v>179</v>
      </c>
      <c r="G303" s="6" t="s">
        <v>134</v>
      </c>
      <c r="H303" s="19">
        <v>3200000.0</v>
      </c>
      <c r="I303" s="35" t="s">
        <v>76</v>
      </c>
      <c r="J303" s="22">
        <v>890.0</v>
      </c>
      <c r="K303" s="22">
        <v>738.0</v>
      </c>
      <c r="L303" s="22">
        <v>3750.0</v>
      </c>
      <c r="M303" s="23">
        <v>0.45</v>
      </c>
      <c r="N303" s="24">
        <v>1.6</v>
      </c>
      <c r="O303" s="26" t="s">
        <v>71</v>
      </c>
      <c r="P303" s="26" t="s">
        <v>77</v>
      </c>
      <c r="Q303" s="27">
        <f t="shared" si="106"/>
        <v>4.213483146</v>
      </c>
      <c r="R303" s="23">
        <f t="shared" si="107"/>
        <v>0.05</v>
      </c>
      <c r="S303" s="27">
        <f t="shared" si="108"/>
        <v>4.424157303</v>
      </c>
      <c r="T303" s="6" t="s">
        <v>40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6.5" customHeight="1">
      <c r="A304" s="7" t="b">
        <v>0</v>
      </c>
      <c r="B304" s="6" t="s">
        <v>704</v>
      </c>
      <c r="C304" s="6" t="s">
        <v>702</v>
      </c>
      <c r="D304" s="6" t="s">
        <v>705</v>
      </c>
      <c r="E304" s="6" t="s">
        <v>74</v>
      </c>
      <c r="F304" s="25" t="s">
        <v>706</v>
      </c>
      <c r="G304" s="6" t="s">
        <v>134</v>
      </c>
      <c r="H304" s="19">
        <v>4300000.0</v>
      </c>
      <c r="I304" s="35" t="s">
        <v>76</v>
      </c>
      <c r="J304" s="22">
        <v>245.0</v>
      </c>
      <c r="K304" s="22">
        <v>242.0</v>
      </c>
      <c r="L304" s="22">
        <v>2100.0</v>
      </c>
      <c r="M304" s="23">
        <v>0.54</v>
      </c>
      <c r="N304" s="24">
        <v>3.44</v>
      </c>
      <c r="O304" s="26" t="s">
        <v>29</v>
      </c>
      <c r="P304" s="26" t="s">
        <v>30</v>
      </c>
      <c r="Q304" s="27">
        <f t="shared" si="106"/>
        <v>8.571428571</v>
      </c>
      <c r="R304" s="23">
        <f t="shared" si="107"/>
        <v>0.04</v>
      </c>
      <c r="S304" s="27">
        <f t="shared" si="108"/>
        <v>8.914285714</v>
      </c>
      <c r="T304" s="6" t="s">
        <v>40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6.5" customHeight="1">
      <c r="A305" s="7" t="b">
        <v>0</v>
      </c>
      <c r="B305" s="5" t="s">
        <v>707</v>
      </c>
      <c r="C305" s="5" t="s">
        <v>702</v>
      </c>
      <c r="D305" s="5" t="s">
        <v>708</v>
      </c>
      <c r="E305" s="5" t="s">
        <v>99</v>
      </c>
      <c r="F305" s="8" t="s">
        <v>709</v>
      </c>
      <c r="G305" s="5" t="s">
        <v>134</v>
      </c>
      <c r="H305" s="9"/>
      <c r="I305" s="48"/>
      <c r="J305" s="9"/>
      <c r="K305" s="9"/>
      <c r="L305" s="9"/>
      <c r="M305" s="28"/>
      <c r="N305" s="29"/>
      <c r="O305" s="30"/>
      <c r="P305" s="30"/>
      <c r="Q305" s="16"/>
      <c r="R305" s="18"/>
      <c r="S305" s="16"/>
      <c r="T305" s="5" t="s">
        <v>129</v>
      </c>
      <c r="U305" s="21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6.5" customHeight="1">
      <c r="A306" s="7" t="b">
        <v>0</v>
      </c>
      <c r="B306" s="6" t="s">
        <v>143</v>
      </c>
      <c r="C306" s="6" t="s">
        <v>702</v>
      </c>
      <c r="D306" s="6" t="s">
        <v>710</v>
      </c>
      <c r="E306" s="6" t="s">
        <v>74</v>
      </c>
      <c r="F306" s="25" t="s">
        <v>317</v>
      </c>
      <c r="G306" s="6" t="s">
        <v>134</v>
      </c>
      <c r="H306" s="19">
        <v>7900000.0</v>
      </c>
      <c r="I306" s="35" t="s">
        <v>76</v>
      </c>
      <c r="J306" s="22">
        <v>340.0</v>
      </c>
      <c r="K306" s="22">
        <v>314.0</v>
      </c>
      <c r="L306" s="22">
        <v>2292.0</v>
      </c>
      <c r="M306" s="23">
        <v>0.5</v>
      </c>
      <c r="N306" s="24">
        <v>3.78</v>
      </c>
      <c r="O306" s="26" t="s">
        <v>29</v>
      </c>
      <c r="P306" s="26" t="s">
        <v>30</v>
      </c>
      <c r="Q306" s="27">
        <f t="shared" ref="Q306:Q320" si="109">L306/J306</f>
        <v>6.741176471</v>
      </c>
      <c r="R306" s="23">
        <f t="shared" ref="R306:R320" si="110">0+((ABS(0.5-M306)*1))</f>
        <v>0</v>
      </c>
      <c r="S306" s="27">
        <f t="shared" ref="S306:S320" si="111">Q306*(R306+1)</f>
        <v>6.741176471</v>
      </c>
      <c r="T306" s="6" t="s">
        <v>40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6.5" customHeight="1">
      <c r="A307" s="7" t="b">
        <v>0</v>
      </c>
      <c r="B307" s="6" t="s">
        <v>618</v>
      </c>
      <c r="C307" s="6" t="s">
        <v>702</v>
      </c>
      <c r="D307" s="6" t="s">
        <v>711</v>
      </c>
      <c r="E307" s="6" t="s">
        <v>253</v>
      </c>
      <c r="F307" s="32" t="s">
        <v>712</v>
      </c>
      <c r="G307" s="6" t="s">
        <v>134</v>
      </c>
      <c r="H307" s="19">
        <v>950000.0</v>
      </c>
      <c r="I307" s="35" t="s">
        <v>76</v>
      </c>
      <c r="J307" s="22">
        <v>450.0</v>
      </c>
      <c r="K307" s="22">
        <v>420.0</v>
      </c>
      <c r="L307" s="22">
        <v>2315.0</v>
      </c>
      <c r="M307" s="23">
        <v>0.48</v>
      </c>
      <c r="N307" s="24">
        <v>5.99</v>
      </c>
      <c r="O307" s="26" t="s">
        <v>29</v>
      </c>
      <c r="P307" s="26" t="s">
        <v>77</v>
      </c>
      <c r="Q307" s="27">
        <f t="shared" si="109"/>
        <v>5.144444444</v>
      </c>
      <c r="R307" s="23">
        <f t="shared" si="110"/>
        <v>0.02</v>
      </c>
      <c r="S307" s="27">
        <f t="shared" si="111"/>
        <v>5.247333333</v>
      </c>
      <c r="T307" s="6" t="s">
        <v>122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6.5" customHeight="1">
      <c r="A308" s="7" t="b">
        <v>0</v>
      </c>
      <c r="B308" s="6" t="s">
        <v>223</v>
      </c>
      <c r="C308" s="6" t="s">
        <v>702</v>
      </c>
      <c r="D308" s="6" t="s">
        <v>713</v>
      </c>
      <c r="E308" s="6" t="s">
        <v>253</v>
      </c>
      <c r="F308" s="36" t="s">
        <v>550</v>
      </c>
      <c r="G308" s="6" t="s">
        <v>134</v>
      </c>
      <c r="H308" s="19">
        <v>570000.0</v>
      </c>
      <c r="I308" s="35" t="s">
        <v>76</v>
      </c>
      <c r="J308" s="22">
        <v>542.0</v>
      </c>
      <c r="K308" s="22">
        <v>473.0</v>
      </c>
      <c r="L308" s="22">
        <v>3241.0</v>
      </c>
      <c r="M308" s="23">
        <v>0.42</v>
      </c>
      <c r="N308" s="24">
        <v>3.5</v>
      </c>
      <c r="O308" s="26" t="s">
        <v>29</v>
      </c>
      <c r="P308" s="26" t="s">
        <v>77</v>
      </c>
      <c r="Q308" s="27">
        <f t="shared" si="109"/>
        <v>5.979704797</v>
      </c>
      <c r="R308" s="23">
        <f t="shared" si="110"/>
        <v>0.08</v>
      </c>
      <c r="S308" s="27">
        <f t="shared" si="111"/>
        <v>6.458081181</v>
      </c>
      <c r="T308" s="6" t="s">
        <v>40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6.5" customHeight="1">
      <c r="A309" s="7" t="b">
        <v>0</v>
      </c>
      <c r="B309" s="6" t="s">
        <v>223</v>
      </c>
      <c r="C309" s="6" t="s">
        <v>702</v>
      </c>
      <c r="D309" s="6" t="s">
        <v>714</v>
      </c>
      <c r="E309" s="6" t="s">
        <v>253</v>
      </c>
      <c r="F309" s="32" t="s">
        <v>715</v>
      </c>
      <c r="G309" s="6" t="s">
        <v>134</v>
      </c>
      <c r="H309" s="19">
        <v>540000.0</v>
      </c>
      <c r="I309" s="10" t="s">
        <v>27</v>
      </c>
      <c r="J309" s="22">
        <v>680.0</v>
      </c>
      <c r="K309" s="22">
        <v>526.0</v>
      </c>
      <c r="L309" s="22">
        <v>2379.0</v>
      </c>
      <c r="M309" s="23">
        <v>0.42</v>
      </c>
      <c r="N309" s="24">
        <v>3.5</v>
      </c>
      <c r="O309" s="26" t="s">
        <v>29</v>
      </c>
      <c r="P309" s="26" t="s">
        <v>77</v>
      </c>
      <c r="Q309" s="27">
        <f t="shared" si="109"/>
        <v>3.498529412</v>
      </c>
      <c r="R309" s="23">
        <f t="shared" si="110"/>
        <v>0.08</v>
      </c>
      <c r="S309" s="27">
        <f t="shared" si="111"/>
        <v>3.778411765</v>
      </c>
      <c r="T309" s="6" t="s">
        <v>40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6.5" customHeight="1">
      <c r="A310" s="7" t="b">
        <v>0</v>
      </c>
      <c r="B310" s="6" t="s">
        <v>196</v>
      </c>
      <c r="C310" s="6" t="s">
        <v>716</v>
      </c>
      <c r="D310" s="6" t="s">
        <v>717</v>
      </c>
      <c r="E310" s="6" t="s">
        <v>153</v>
      </c>
      <c r="F310" s="36" t="s">
        <v>411</v>
      </c>
      <c r="G310" s="6" t="s">
        <v>52</v>
      </c>
      <c r="H310" s="19">
        <v>72000.0</v>
      </c>
      <c r="I310" s="20" t="s">
        <v>33</v>
      </c>
      <c r="J310" s="22">
        <v>707.0</v>
      </c>
      <c r="K310" s="22">
        <v>645.0</v>
      </c>
      <c r="L310" s="22">
        <v>5350.0</v>
      </c>
      <c r="M310" s="23">
        <v>0.57</v>
      </c>
      <c r="N310" s="24">
        <v>6.17</v>
      </c>
      <c r="O310" s="26" t="s">
        <v>71</v>
      </c>
      <c r="P310" s="26" t="s">
        <v>30</v>
      </c>
      <c r="Q310" s="27">
        <f t="shared" si="109"/>
        <v>7.56718529</v>
      </c>
      <c r="R310" s="23">
        <f t="shared" si="110"/>
        <v>0.07</v>
      </c>
      <c r="S310" s="27">
        <f t="shared" si="111"/>
        <v>8.09688826</v>
      </c>
      <c r="T310" s="6" t="s">
        <v>40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6.5" customHeight="1">
      <c r="A311" s="7" t="b">
        <v>0</v>
      </c>
      <c r="B311" s="6" t="s">
        <v>180</v>
      </c>
      <c r="C311" s="6" t="s">
        <v>716</v>
      </c>
      <c r="D311" s="6" t="s">
        <v>718</v>
      </c>
      <c r="E311" s="6" t="s">
        <v>374</v>
      </c>
      <c r="F311" s="17" t="s">
        <v>719</v>
      </c>
      <c r="G311" s="6" t="s">
        <v>52</v>
      </c>
      <c r="H311" s="19">
        <v>36000.0</v>
      </c>
      <c r="I311" s="20" t="s">
        <v>33</v>
      </c>
      <c r="J311" s="22">
        <v>285.0</v>
      </c>
      <c r="K311" s="22">
        <v>260.0</v>
      </c>
      <c r="L311" s="22">
        <v>5073.0</v>
      </c>
      <c r="M311" s="23">
        <v>0.53</v>
      </c>
      <c r="N311" s="24">
        <v>3.6</v>
      </c>
      <c r="O311" s="26" t="s">
        <v>71</v>
      </c>
      <c r="P311" s="26" t="s">
        <v>30</v>
      </c>
      <c r="Q311" s="27">
        <f t="shared" si="109"/>
        <v>17.8</v>
      </c>
      <c r="R311" s="23">
        <f t="shared" si="110"/>
        <v>0.03</v>
      </c>
      <c r="S311" s="27">
        <f t="shared" si="111"/>
        <v>18.334</v>
      </c>
      <c r="T311" s="6" t="s">
        <v>40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6.5" customHeight="1">
      <c r="A312" s="7" t="b">
        <v>0</v>
      </c>
      <c r="B312" s="6" t="s">
        <v>41</v>
      </c>
      <c r="C312" s="6" t="s">
        <v>716</v>
      </c>
      <c r="D312" s="6" t="s">
        <v>720</v>
      </c>
      <c r="E312" s="6" t="s">
        <v>114</v>
      </c>
      <c r="F312" s="36" t="s">
        <v>85</v>
      </c>
      <c r="G312" s="6" t="s">
        <v>52</v>
      </c>
      <c r="H312" s="19">
        <v>70000.0</v>
      </c>
      <c r="I312" s="10" t="s">
        <v>27</v>
      </c>
      <c r="J312" s="22">
        <v>707.0</v>
      </c>
      <c r="K312" s="22">
        <v>650.0</v>
      </c>
      <c r="L312" s="22">
        <v>4600.0</v>
      </c>
      <c r="M312" s="23">
        <v>0.55</v>
      </c>
      <c r="N312" s="24">
        <v>6.17</v>
      </c>
      <c r="O312" s="26" t="s">
        <v>71</v>
      </c>
      <c r="P312" s="26" t="s">
        <v>30</v>
      </c>
      <c r="Q312" s="27">
        <f t="shared" si="109"/>
        <v>6.506364922</v>
      </c>
      <c r="R312" s="23">
        <f t="shared" si="110"/>
        <v>0.05</v>
      </c>
      <c r="S312" s="27">
        <f t="shared" si="111"/>
        <v>6.831683168</v>
      </c>
      <c r="T312" s="6" t="s">
        <v>40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6.5" customHeight="1">
      <c r="A313" s="7" t="b">
        <v>0</v>
      </c>
      <c r="B313" s="6" t="s">
        <v>285</v>
      </c>
      <c r="C313" s="6" t="s">
        <v>716</v>
      </c>
      <c r="D313" s="6" t="s">
        <v>721</v>
      </c>
      <c r="E313" s="6" t="s">
        <v>374</v>
      </c>
      <c r="F313" s="17" t="s">
        <v>722</v>
      </c>
      <c r="G313" s="6" t="s">
        <v>52</v>
      </c>
      <c r="H313" s="19">
        <v>16000.0</v>
      </c>
      <c r="I313" s="20" t="s">
        <v>33</v>
      </c>
      <c r="J313" s="22">
        <v>285.0</v>
      </c>
      <c r="K313" s="22">
        <v>260.0</v>
      </c>
      <c r="L313" s="22">
        <v>4132.0</v>
      </c>
      <c r="M313" s="23">
        <v>0.5</v>
      </c>
      <c r="N313" s="24">
        <v>3.6</v>
      </c>
      <c r="O313" s="26" t="s">
        <v>71</v>
      </c>
      <c r="P313" s="26" t="s">
        <v>30</v>
      </c>
      <c r="Q313" s="27">
        <f t="shared" si="109"/>
        <v>14.49824561</v>
      </c>
      <c r="R313" s="23">
        <f t="shared" si="110"/>
        <v>0</v>
      </c>
      <c r="S313" s="27">
        <f t="shared" si="111"/>
        <v>14.49824561</v>
      </c>
      <c r="T313" s="6" t="s">
        <v>40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6.5" customHeight="1">
      <c r="A314" s="7" t="b">
        <v>0</v>
      </c>
      <c r="B314" s="6" t="s">
        <v>180</v>
      </c>
      <c r="C314" s="6" t="s">
        <v>723</v>
      </c>
      <c r="D314" s="6" t="s">
        <v>724</v>
      </c>
      <c r="E314" s="6" t="s">
        <v>111</v>
      </c>
      <c r="F314" s="36" t="s">
        <v>286</v>
      </c>
      <c r="G314" s="6" t="s">
        <v>52</v>
      </c>
      <c r="H314" s="19">
        <v>95000.0</v>
      </c>
      <c r="I314" s="10" t="s">
        <v>27</v>
      </c>
      <c r="J314" s="22">
        <v>850.0</v>
      </c>
      <c r="K314" s="22">
        <v>800.0</v>
      </c>
      <c r="L314" s="22">
        <v>3968.0</v>
      </c>
      <c r="M314" s="23">
        <v>0.42</v>
      </c>
      <c r="N314" s="24">
        <v>7.82</v>
      </c>
      <c r="O314" s="26" t="s">
        <v>29</v>
      </c>
      <c r="P314" s="26" t="s">
        <v>77</v>
      </c>
      <c r="Q314" s="27">
        <f t="shared" si="109"/>
        <v>4.668235294</v>
      </c>
      <c r="R314" s="23">
        <f t="shared" si="110"/>
        <v>0.08</v>
      </c>
      <c r="S314" s="27">
        <f t="shared" si="111"/>
        <v>5.041694118</v>
      </c>
      <c r="T314" s="6" t="s">
        <v>40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6.5" customHeight="1">
      <c r="A315" s="7" t="b">
        <v>0</v>
      </c>
      <c r="B315" s="6" t="s">
        <v>123</v>
      </c>
      <c r="C315" s="6" t="s">
        <v>723</v>
      </c>
      <c r="D315" s="6" t="s">
        <v>725</v>
      </c>
      <c r="E315" s="6" t="s">
        <v>114</v>
      </c>
      <c r="F315" s="25" t="s">
        <v>726</v>
      </c>
      <c r="G315" s="6" t="s">
        <v>52</v>
      </c>
      <c r="H315" s="19">
        <v>350000.0</v>
      </c>
      <c r="I315" s="34" t="s">
        <v>62</v>
      </c>
      <c r="J315" s="22">
        <v>495.0</v>
      </c>
      <c r="K315" s="22">
        <v>450.0</v>
      </c>
      <c r="L315" s="22">
        <v>5100.0</v>
      </c>
      <c r="M315" s="23">
        <v>0.47</v>
      </c>
      <c r="N315" s="24">
        <v>6.16</v>
      </c>
      <c r="O315" s="26" t="s">
        <v>29</v>
      </c>
      <c r="P315" s="26" t="s">
        <v>30</v>
      </c>
      <c r="Q315" s="27">
        <f t="shared" si="109"/>
        <v>10.3030303</v>
      </c>
      <c r="R315" s="23">
        <f t="shared" si="110"/>
        <v>0.03</v>
      </c>
      <c r="S315" s="27">
        <f t="shared" si="111"/>
        <v>10.61212121</v>
      </c>
      <c r="T315" s="6" t="s">
        <v>40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6.5" customHeight="1">
      <c r="A316" s="7" t="b">
        <v>0</v>
      </c>
      <c r="B316" s="6" t="s">
        <v>187</v>
      </c>
      <c r="C316" s="6" t="s">
        <v>727</v>
      </c>
      <c r="D316" s="6" t="s">
        <v>728</v>
      </c>
      <c r="E316" s="6" t="s">
        <v>156</v>
      </c>
      <c r="F316" s="50" t="s">
        <v>179</v>
      </c>
      <c r="G316" s="6" t="s">
        <v>729</v>
      </c>
      <c r="H316" s="19">
        <v>1950000.0</v>
      </c>
      <c r="I316" s="35" t="s">
        <v>76</v>
      </c>
      <c r="J316" s="22">
        <v>999.0</v>
      </c>
      <c r="K316" s="22">
        <v>861.0</v>
      </c>
      <c r="L316" s="22">
        <v>3164.0</v>
      </c>
      <c r="M316" s="23">
        <v>0.45</v>
      </c>
      <c r="N316" s="24">
        <v>5.03</v>
      </c>
      <c r="O316" s="26" t="s">
        <v>29</v>
      </c>
      <c r="P316" s="26" t="s">
        <v>77</v>
      </c>
      <c r="Q316" s="27">
        <f t="shared" si="109"/>
        <v>3.167167167</v>
      </c>
      <c r="R316" s="23">
        <f t="shared" si="110"/>
        <v>0.05</v>
      </c>
      <c r="S316" s="27">
        <f t="shared" si="111"/>
        <v>3.325525526</v>
      </c>
      <c r="T316" s="6" t="s">
        <v>40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6.5" customHeight="1">
      <c r="A317" s="7" t="b">
        <v>0</v>
      </c>
      <c r="B317" s="6" t="s">
        <v>21</v>
      </c>
      <c r="C317" s="6" t="s">
        <v>727</v>
      </c>
      <c r="D317" s="6" t="s">
        <v>730</v>
      </c>
      <c r="E317" s="6" t="s">
        <v>156</v>
      </c>
      <c r="F317" s="50" t="s">
        <v>731</v>
      </c>
      <c r="G317" s="6" t="s">
        <v>729</v>
      </c>
      <c r="H317" s="19">
        <v>2900000.0</v>
      </c>
      <c r="I317" s="35" t="s">
        <v>76</v>
      </c>
      <c r="J317" s="22">
        <v>1341.0</v>
      </c>
      <c r="K317" s="22">
        <v>1010.0</v>
      </c>
      <c r="L317" s="22">
        <v>3075.0</v>
      </c>
      <c r="M317" s="23">
        <v>0.44</v>
      </c>
      <c r="N317" s="24">
        <v>5.07</v>
      </c>
      <c r="O317" s="26" t="s">
        <v>29</v>
      </c>
      <c r="P317" s="26" t="s">
        <v>77</v>
      </c>
      <c r="Q317" s="27">
        <f t="shared" si="109"/>
        <v>2.293064877</v>
      </c>
      <c r="R317" s="23">
        <f t="shared" si="110"/>
        <v>0.06</v>
      </c>
      <c r="S317" s="27">
        <f t="shared" si="111"/>
        <v>2.43064877</v>
      </c>
      <c r="T317" s="6" t="s">
        <v>122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6.5" customHeight="1">
      <c r="A318" s="7" t="b">
        <v>0</v>
      </c>
      <c r="B318" s="6" t="s">
        <v>270</v>
      </c>
      <c r="C318" s="6" t="s">
        <v>727</v>
      </c>
      <c r="D318" s="6" t="s">
        <v>732</v>
      </c>
      <c r="E318" s="6" t="s">
        <v>126</v>
      </c>
      <c r="F318" s="50" t="s">
        <v>488</v>
      </c>
      <c r="G318" s="6" t="s">
        <v>729</v>
      </c>
      <c r="H318" s="19">
        <v>3400000.0</v>
      </c>
      <c r="I318" s="35" t="s">
        <v>76</v>
      </c>
      <c r="J318" s="22">
        <v>610.0</v>
      </c>
      <c r="K318" s="22">
        <v>442.0</v>
      </c>
      <c r="L318" s="22">
        <v>2425.0</v>
      </c>
      <c r="M318" s="23">
        <v>0.5</v>
      </c>
      <c r="N318" s="24">
        <v>5.0</v>
      </c>
      <c r="O318" s="26" t="s">
        <v>29</v>
      </c>
      <c r="P318" s="26" t="s">
        <v>77</v>
      </c>
      <c r="Q318" s="27">
        <f t="shared" si="109"/>
        <v>3.975409836</v>
      </c>
      <c r="R318" s="23">
        <f t="shared" si="110"/>
        <v>0</v>
      </c>
      <c r="S318" s="27">
        <f t="shared" si="111"/>
        <v>3.975409836</v>
      </c>
      <c r="T318" s="6" t="s">
        <v>40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6.5" customHeight="1">
      <c r="A319" s="7" t="b">
        <v>0</v>
      </c>
      <c r="B319" s="37" t="s">
        <v>292</v>
      </c>
      <c r="C319" s="37" t="s">
        <v>727</v>
      </c>
      <c r="D319" s="37" t="s">
        <v>733</v>
      </c>
      <c r="E319" s="37" t="s">
        <v>156</v>
      </c>
      <c r="F319" s="50" t="s">
        <v>488</v>
      </c>
      <c r="G319" s="37" t="s">
        <v>729</v>
      </c>
      <c r="H319" s="38">
        <v>2000000.0</v>
      </c>
      <c r="I319" s="34" t="s">
        <v>62</v>
      </c>
      <c r="J319" s="46">
        <v>1451.0</v>
      </c>
      <c r="K319" s="46">
        <v>1279.0</v>
      </c>
      <c r="L319" s="46">
        <v>4499.0</v>
      </c>
      <c r="M319" s="45">
        <v>0.48</v>
      </c>
      <c r="N319" s="47">
        <v>5.07</v>
      </c>
      <c r="O319" s="43" t="s">
        <v>71</v>
      </c>
      <c r="P319" s="43" t="s">
        <v>77</v>
      </c>
      <c r="Q319" s="44">
        <f t="shared" si="109"/>
        <v>3.100620262</v>
      </c>
      <c r="R319" s="45">
        <f t="shared" si="110"/>
        <v>0.02</v>
      </c>
      <c r="S319" s="44">
        <f t="shared" si="111"/>
        <v>3.162632667</v>
      </c>
      <c r="T319" s="37" t="s">
        <v>88</v>
      </c>
      <c r="U319" s="37" t="s">
        <v>89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6.5" customHeight="1">
      <c r="A320" s="7" t="b">
        <v>0</v>
      </c>
      <c r="B320" s="6" t="s">
        <v>180</v>
      </c>
      <c r="C320" s="6" t="s">
        <v>727</v>
      </c>
      <c r="D320" s="6" t="s">
        <v>734</v>
      </c>
      <c r="E320" s="6" t="s">
        <v>156</v>
      </c>
      <c r="F320" s="50" t="s">
        <v>735</v>
      </c>
      <c r="G320" s="6" t="s">
        <v>729</v>
      </c>
      <c r="H320" s="19">
        <v>3500000.0</v>
      </c>
      <c r="I320" s="35" t="s">
        <v>76</v>
      </c>
      <c r="J320" s="22">
        <v>1602.0</v>
      </c>
      <c r="K320" s="22">
        <v>1105.0</v>
      </c>
      <c r="L320" s="22">
        <v>3131.0</v>
      </c>
      <c r="M320" s="23">
        <v>0.45</v>
      </c>
      <c r="N320" s="24">
        <v>5.07</v>
      </c>
      <c r="O320" s="26" t="s">
        <v>29</v>
      </c>
      <c r="P320" s="26" t="s">
        <v>77</v>
      </c>
      <c r="Q320" s="27">
        <f t="shared" si="109"/>
        <v>1.95443196</v>
      </c>
      <c r="R320" s="23">
        <f t="shared" si="110"/>
        <v>0.05</v>
      </c>
      <c r="S320" s="27">
        <f t="shared" si="111"/>
        <v>2.052153558</v>
      </c>
      <c r="T320" s="6" t="s">
        <v>40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6.5" customHeight="1">
      <c r="A321" s="7" t="b">
        <v>0</v>
      </c>
      <c r="B321" s="5" t="s">
        <v>116</v>
      </c>
      <c r="C321" s="5" t="s">
        <v>727</v>
      </c>
      <c r="D321" s="5" t="s">
        <v>736</v>
      </c>
      <c r="E321" s="5" t="s">
        <v>156</v>
      </c>
      <c r="F321" s="50" t="s">
        <v>731</v>
      </c>
      <c r="G321" s="5" t="s">
        <v>729</v>
      </c>
      <c r="H321" s="9"/>
      <c r="I321" s="48"/>
      <c r="J321" s="9"/>
      <c r="K321" s="9"/>
      <c r="L321" s="9"/>
      <c r="M321" s="28"/>
      <c r="N321" s="29"/>
      <c r="O321" s="30"/>
      <c r="P321" s="30"/>
      <c r="Q321" s="16"/>
      <c r="R321" s="18"/>
      <c r="S321" s="16"/>
      <c r="T321" s="5" t="s">
        <v>129</v>
      </c>
      <c r="U321" s="21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6.5" customHeight="1">
      <c r="A322" s="7" t="b">
        <v>0</v>
      </c>
      <c r="B322" s="6" t="s">
        <v>41</v>
      </c>
      <c r="C322" s="6" t="s">
        <v>727</v>
      </c>
      <c r="D322" s="6" t="s">
        <v>737</v>
      </c>
      <c r="E322" s="6" t="s">
        <v>156</v>
      </c>
      <c r="F322" s="50" t="s">
        <v>738</v>
      </c>
      <c r="G322" s="6" t="s">
        <v>729</v>
      </c>
      <c r="H322" s="19">
        <v>2550000.0</v>
      </c>
      <c r="I322" s="35" t="s">
        <v>76</v>
      </c>
      <c r="J322" s="22">
        <v>1500.0</v>
      </c>
      <c r="K322" s="22">
        <v>1474.0</v>
      </c>
      <c r="L322" s="22">
        <v>3589.0</v>
      </c>
      <c r="M322" s="23">
        <v>0.45</v>
      </c>
      <c r="N322" s="24">
        <v>5.0</v>
      </c>
      <c r="O322" s="26" t="s">
        <v>29</v>
      </c>
      <c r="P322" s="26" t="s">
        <v>77</v>
      </c>
      <c r="Q322" s="27">
        <f t="shared" ref="Q322:Q323" si="112">L322/J322</f>
        <v>2.392666667</v>
      </c>
      <c r="R322" s="23">
        <f t="shared" ref="R322:R323" si="113">0+((ABS(0.5-M322)*1))</f>
        <v>0.05</v>
      </c>
      <c r="S322" s="27">
        <f t="shared" ref="S322:S323" si="114">Q322*(R322+1)</f>
        <v>2.5123</v>
      </c>
      <c r="T322" s="6" t="s">
        <v>72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6.5" customHeight="1">
      <c r="A323" s="7" t="b">
        <v>0</v>
      </c>
      <c r="B323" s="6" t="s">
        <v>196</v>
      </c>
      <c r="C323" s="6" t="s">
        <v>739</v>
      </c>
      <c r="D323" s="6" t="s">
        <v>740</v>
      </c>
      <c r="E323" s="6" t="s">
        <v>126</v>
      </c>
      <c r="F323" s="32" t="s">
        <v>741</v>
      </c>
      <c r="G323" s="6" t="s">
        <v>742</v>
      </c>
      <c r="H323" s="19">
        <v>90000.0</v>
      </c>
      <c r="I323" s="34" t="s">
        <v>62</v>
      </c>
      <c r="J323" s="22">
        <v>326.0</v>
      </c>
      <c r="K323" s="22">
        <v>295.0</v>
      </c>
      <c r="L323" s="22">
        <v>2352.0</v>
      </c>
      <c r="M323" s="23">
        <v>0.45</v>
      </c>
      <c r="N323" s="24">
        <v>1.98</v>
      </c>
      <c r="O323" s="26" t="s">
        <v>29</v>
      </c>
      <c r="P323" s="26" t="s">
        <v>77</v>
      </c>
      <c r="Q323" s="27">
        <f t="shared" si="112"/>
        <v>7.214723926</v>
      </c>
      <c r="R323" s="23">
        <f t="shared" si="113"/>
        <v>0.05</v>
      </c>
      <c r="S323" s="27">
        <f t="shared" si="114"/>
        <v>7.575460123</v>
      </c>
      <c r="T323" s="6" t="s">
        <v>40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6.5" customHeight="1">
      <c r="A324" s="7" t="b">
        <v>0</v>
      </c>
      <c r="B324" s="5" t="s">
        <v>58</v>
      </c>
      <c r="C324" s="5" t="s">
        <v>743</v>
      </c>
      <c r="D324" s="5" t="s">
        <v>744</v>
      </c>
      <c r="E324" s="5" t="s">
        <v>156</v>
      </c>
      <c r="F324" s="32" t="s">
        <v>745</v>
      </c>
      <c r="G324" s="5" t="s">
        <v>26</v>
      </c>
      <c r="H324" s="9">
        <v>800000.0</v>
      </c>
      <c r="I324" s="35" t="s">
        <v>76</v>
      </c>
      <c r="J324" s="9"/>
      <c r="K324" s="9"/>
      <c r="L324" s="9"/>
      <c r="M324" s="28"/>
      <c r="N324" s="29"/>
      <c r="O324" s="30"/>
      <c r="P324" s="30"/>
      <c r="Q324" s="16"/>
      <c r="R324" s="18"/>
      <c r="S324" s="16"/>
      <c r="T324" s="5" t="s">
        <v>34</v>
      </c>
      <c r="U324" s="21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6.5" customHeight="1">
      <c r="A325" s="7" t="b">
        <v>0</v>
      </c>
      <c r="B325" s="5" t="s">
        <v>285</v>
      </c>
      <c r="C325" s="5" t="s">
        <v>743</v>
      </c>
      <c r="D325" s="5" t="s">
        <v>746</v>
      </c>
      <c r="E325" s="5" t="s">
        <v>156</v>
      </c>
      <c r="F325" s="32" t="s">
        <v>747</v>
      </c>
      <c r="G325" s="5" t="s">
        <v>26</v>
      </c>
      <c r="H325" s="9"/>
      <c r="I325" s="48"/>
      <c r="J325" s="9"/>
      <c r="K325" s="9"/>
      <c r="L325" s="9"/>
      <c r="M325" s="28"/>
      <c r="N325" s="29"/>
      <c r="O325" s="30"/>
      <c r="P325" s="30"/>
      <c r="Q325" s="16"/>
      <c r="R325" s="18"/>
      <c r="S325" s="16"/>
      <c r="T325" s="5" t="s">
        <v>129</v>
      </c>
      <c r="U325" s="21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6.5" customHeight="1">
      <c r="A326" s="7" t="b">
        <v>0</v>
      </c>
      <c r="B326" s="6" t="s">
        <v>196</v>
      </c>
      <c r="C326" s="6" t="s">
        <v>743</v>
      </c>
      <c r="D326" s="6" t="s">
        <v>748</v>
      </c>
      <c r="E326" s="6" t="s">
        <v>156</v>
      </c>
      <c r="F326" s="32" t="s">
        <v>745</v>
      </c>
      <c r="G326" s="6" t="s">
        <v>26</v>
      </c>
      <c r="H326" s="19">
        <v>1200000.0</v>
      </c>
      <c r="I326" s="35" t="s">
        <v>76</v>
      </c>
      <c r="J326" s="22">
        <v>759.0</v>
      </c>
      <c r="K326" s="22">
        <v>531.0</v>
      </c>
      <c r="L326" s="22">
        <v>3607.0</v>
      </c>
      <c r="M326" s="23">
        <v>0.43</v>
      </c>
      <c r="N326" s="24">
        <v>6.5</v>
      </c>
      <c r="O326" s="26" t="s">
        <v>71</v>
      </c>
      <c r="P326" s="26" t="s">
        <v>77</v>
      </c>
      <c r="Q326" s="27">
        <f t="shared" ref="Q326:Q327" si="115">L326/J326</f>
        <v>4.752305665</v>
      </c>
      <c r="R326" s="23">
        <f t="shared" ref="R326:R327" si="116">0+((ABS(0.5-M326)*1))</f>
        <v>0.07</v>
      </c>
      <c r="S326" s="27">
        <f t="shared" ref="S326:S327" si="117">Q326*(R326+1)</f>
        <v>5.084967062</v>
      </c>
      <c r="T326" s="6" t="s">
        <v>40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6.5" customHeight="1">
      <c r="A327" s="7" t="b">
        <v>0</v>
      </c>
      <c r="B327" s="6" t="s">
        <v>41</v>
      </c>
      <c r="C327" s="6" t="s">
        <v>743</v>
      </c>
      <c r="D327" s="6" t="s">
        <v>749</v>
      </c>
      <c r="E327" s="6" t="s">
        <v>156</v>
      </c>
      <c r="F327" s="32" t="s">
        <v>750</v>
      </c>
      <c r="G327" s="6" t="s">
        <v>26</v>
      </c>
      <c r="H327" s="19">
        <v>150000.0</v>
      </c>
      <c r="I327" s="35" t="s">
        <v>76</v>
      </c>
      <c r="J327" s="22">
        <v>759.0</v>
      </c>
      <c r="K327" s="22">
        <v>508.0</v>
      </c>
      <c r="L327" s="22">
        <v>3693.0</v>
      </c>
      <c r="M327" s="23">
        <v>0.43</v>
      </c>
      <c r="N327" s="24">
        <v>6.5</v>
      </c>
      <c r="O327" s="26" t="s">
        <v>71</v>
      </c>
      <c r="P327" s="26" t="s">
        <v>77</v>
      </c>
      <c r="Q327" s="27">
        <f t="shared" si="115"/>
        <v>4.865612648</v>
      </c>
      <c r="R327" s="23">
        <f t="shared" si="116"/>
        <v>0.07</v>
      </c>
      <c r="S327" s="27">
        <f t="shared" si="117"/>
        <v>5.206205534</v>
      </c>
      <c r="T327" s="6" t="s">
        <v>165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6.5" customHeight="1">
      <c r="A328" s="7" t="b">
        <v>0</v>
      </c>
      <c r="B328" s="5" t="s">
        <v>263</v>
      </c>
      <c r="C328" s="5" t="s">
        <v>743</v>
      </c>
      <c r="D328" s="5" t="s">
        <v>751</v>
      </c>
      <c r="E328" s="5" t="s">
        <v>253</v>
      </c>
      <c r="F328" s="36" t="s">
        <v>752</v>
      </c>
      <c r="G328" s="5" t="s">
        <v>26</v>
      </c>
      <c r="H328" s="9">
        <v>600000.0</v>
      </c>
      <c r="I328" s="34" t="s">
        <v>62</v>
      </c>
      <c r="J328" s="9"/>
      <c r="K328" s="9"/>
      <c r="L328" s="9"/>
      <c r="M328" s="28"/>
      <c r="N328" s="29"/>
      <c r="O328" s="30"/>
      <c r="P328" s="30"/>
      <c r="Q328" s="16"/>
      <c r="R328" s="18"/>
      <c r="S328" s="16"/>
      <c r="T328" s="5" t="s">
        <v>34</v>
      </c>
      <c r="U328" s="21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6.5" customHeight="1">
      <c r="A329" s="7" t="b">
        <v>0</v>
      </c>
      <c r="B329" s="6" t="s">
        <v>90</v>
      </c>
      <c r="C329" s="6" t="s">
        <v>743</v>
      </c>
      <c r="D329" s="6" t="s">
        <v>753</v>
      </c>
      <c r="E329" s="6" t="s">
        <v>156</v>
      </c>
      <c r="F329" s="32" t="s">
        <v>502</v>
      </c>
      <c r="G329" s="6" t="s">
        <v>26</v>
      </c>
      <c r="H329" s="19">
        <v>2100000.0</v>
      </c>
      <c r="I329" s="35" t="s">
        <v>76</v>
      </c>
      <c r="J329" s="22">
        <v>808.0</v>
      </c>
      <c r="K329" s="22">
        <v>556.0</v>
      </c>
      <c r="L329" s="22">
        <v>4116.0</v>
      </c>
      <c r="M329" s="23">
        <v>0.43</v>
      </c>
      <c r="N329" s="24">
        <v>6.5</v>
      </c>
      <c r="O329" s="26" t="s">
        <v>71</v>
      </c>
      <c r="P329" s="26" t="s">
        <v>77</v>
      </c>
      <c r="Q329" s="27">
        <f>L329/J329</f>
        <v>5.094059406</v>
      </c>
      <c r="R329" s="23">
        <f>0+((ABS(0.5-M329)*1))</f>
        <v>0.07</v>
      </c>
      <c r="S329" s="27">
        <f>Q329*(R329+1)</f>
        <v>5.450643564</v>
      </c>
      <c r="T329" s="6" t="s">
        <v>40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6.5" customHeight="1">
      <c r="A330" s="7" t="b">
        <v>0</v>
      </c>
      <c r="B330" s="5" t="s">
        <v>427</v>
      </c>
      <c r="C330" s="5" t="s">
        <v>743</v>
      </c>
      <c r="D330" s="5" t="s">
        <v>754</v>
      </c>
      <c r="E330" s="5" t="s">
        <v>126</v>
      </c>
      <c r="F330" s="50" t="s">
        <v>755</v>
      </c>
      <c r="G330" s="5" t="s">
        <v>26</v>
      </c>
      <c r="H330" s="9">
        <v>680000.0</v>
      </c>
      <c r="I330" s="34" t="s">
        <v>62</v>
      </c>
      <c r="J330" s="9"/>
      <c r="K330" s="9"/>
      <c r="L330" s="9"/>
      <c r="M330" s="28"/>
      <c r="N330" s="29"/>
      <c r="O330" s="30"/>
      <c r="P330" s="30"/>
      <c r="Q330" s="16"/>
      <c r="R330" s="18"/>
      <c r="S330" s="16"/>
      <c r="T330" s="5" t="s">
        <v>129</v>
      </c>
      <c r="U330" s="21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6.5" customHeight="1">
      <c r="A331" s="7" t="b">
        <v>0</v>
      </c>
      <c r="B331" s="5" t="s">
        <v>266</v>
      </c>
      <c r="C331" s="5" t="s">
        <v>743</v>
      </c>
      <c r="D331" s="5" t="s">
        <v>756</v>
      </c>
      <c r="E331" s="5" t="s">
        <v>253</v>
      </c>
      <c r="F331" s="36" t="s">
        <v>237</v>
      </c>
      <c r="G331" s="5" t="s">
        <v>26</v>
      </c>
      <c r="H331" s="9">
        <v>375000.0</v>
      </c>
      <c r="I331" s="35" t="s">
        <v>678</v>
      </c>
      <c r="J331" s="9"/>
      <c r="K331" s="9"/>
      <c r="L331" s="9"/>
      <c r="M331" s="28"/>
      <c r="N331" s="29"/>
      <c r="O331" s="30"/>
      <c r="P331" s="30"/>
      <c r="Q331" s="16"/>
      <c r="R331" s="18"/>
      <c r="S331" s="16"/>
      <c r="T331" s="5" t="s">
        <v>256</v>
      </c>
      <c r="U331" s="21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6.5" customHeight="1">
      <c r="A332" s="7" t="b">
        <v>0</v>
      </c>
      <c r="B332" s="6" t="s">
        <v>180</v>
      </c>
      <c r="C332" s="6" t="s">
        <v>743</v>
      </c>
      <c r="D332" s="6" t="s">
        <v>757</v>
      </c>
      <c r="E332" s="6" t="s">
        <v>126</v>
      </c>
      <c r="F332" s="49" t="s">
        <v>758</v>
      </c>
      <c r="G332" s="6" t="s">
        <v>26</v>
      </c>
      <c r="H332" s="19">
        <v>1500000.0</v>
      </c>
      <c r="I332" s="35" t="s">
        <v>76</v>
      </c>
      <c r="J332" s="22">
        <v>818.0</v>
      </c>
      <c r="K332" s="22">
        <v>590.0</v>
      </c>
      <c r="L332" s="22">
        <v>3190.0</v>
      </c>
      <c r="M332" s="23">
        <v>0.41</v>
      </c>
      <c r="N332" s="24">
        <v>6.5</v>
      </c>
      <c r="O332" s="26" t="s">
        <v>29</v>
      </c>
      <c r="P332" s="26" t="s">
        <v>77</v>
      </c>
      <c r="Q332" s="27">
        <f t="shared" ref="Q332:Q333" si="118">L332/J332</f>
        <v>3.899755501</v>
      </c>
      <c r="R332" s="23">
        <f t="shared" ref="R332:R333" si="119">0+((ABS(0.5-M332)*1))</f>
        <v>0.09</v>
      </c>
      <c r="S332" s="27">
        <f t="shared" ref="S332:S333" si="120">Q332*(R332+1)</f>
        <v>4.250733496</v>
      </c>
      <c r="T332" s="6" t="s">
        <v>40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6.5" customHeight="1">
      <c r="A333" s="7" t="b">
        <v>0</v>
      </c>
      <c r="B333" s="6" t="s">
        <v>285</v>
      </c>
      <c r="C333" s="6" t="s">
        <v>743</v>
      </c>
      <c r="D333" s="6" t="s">
        <v>759</v>
      </c>
      <c r="E333" s="6" t="s">
        <v>60</v>
      </c>
      <c r="F333" s="36" t="s">
        <v>760</v>
      </c>
      <c r="G333" s="6" t="s">
        <v>26</v>
      </c>
      <c r="H333" s="19">
        <v>210000.0</v>
      </c>
      <c r="I333" s="34" t="s">
        <v>62</v>
      </c>
      <c r="J333" s="22">
        <v>562.0</v>
      </c>
      <c r="K333" s="22">
        <v>398.0</v>
      </c>
      <c r="L333" s="22">
        <v>3618.0</v>
      </c>
      <c r="M333" s="23">
        <v>0.43</v>
      </c>
      <c r="N333" s="24">
        <v>5.2</v>
      </c>
      <c r="O333" s="26" t="s">
        <v>71</v>
      </c>
      <c r="P333" s="26" t="s">
        <v>77</v>
      </c>
      <c r="Q333" s="27">
        <f t="shared" si="118"/>
        <v>6.43772242</v>
      </c>
      <c r="R333" s="23">
        <f t="shared" si="119"/>
        <v>0.07</v>
      </c>
      <c r="S333" s="27">
        <f t="shared" si="120"/>
        <v>6.888362989</v>
      </c>
      <c r="T333" s="6" t="s">
        <v>40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6.5" customHeight="1">
      <c r="A334" s="7" t="b">
        <v>0</v>
      </c>
      <c r="B334" s="5" t="s">
        <v>180</v>
      </c>
      <c r="C334" s="5" t="s">
        <v>743</v>
      </c>
      <c r="D334" s="5" t="s">
        <v>761</v>
      </c>
      <c r="E334" s="5" t="s">
        <v>60</v>
      </c>
      <c r="F334" s="32" t="s">
        <v>762</v>
      </c>
      <c r="G334" s="5" t="s">
        <v>26</v>
      </c>
      <c r="H334" s="9">
        <v>250000.0</v>
      </c>
      <c r="I334" s="34" t="s">
        <v>62</v>
      </c>
      <c r="J334" s="9"/>
      <c r="K334" s="9"/>
      <c r="L334" s="9"/>
      <c r="M334" s="28"/>
      <c r="N334" s="29"/>
      <c r="O334" s="30"/>
      <c r="P334" s="30"/>
      <c r="Q334" s="16"/>
      <c r="R334" s="18"/>
      <c r="S334" s="16"/>
      <c r="T334" s="5" t="s">
        <v>34</v>
      </c>
      <c r="U334" s="21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6.5" customHeight="1">
      <c r="A335" s="7" t="b">
        <v>0</v>
      </c>
      <c r="B335" s="5" t="s">
        <v>58</v>
      </c>
      <c r="C335" s="5" t="s">
        <v>743</v>
      </c>
      <c r="D335" s="51" t="s">
        <v>763</v>
      </c>
      <c r="E335" s="5" t="s">
        <v>60</v>
      </c>
      <c r="F335" s="32" t="s">
        <v>551</v>
      </c>
      <c r="G335" s="5" t="s">
        <v>26</v>
      </c>
      <c r="H335" s="9">
        <v>325000.0</v>
      </c>
      <c r="I335" s="10" t="s">
        <v>27</v>
      </c>
      <c r="J335" s="9"/>
      <c r="K335" s="9"/>
      <c r="L335" s="9"/>
      <c r="M335" s="28"/>
      <c r="N335" s="29"/>
      <c r="O335" s="30"/>
      <c r="P335" s="30"/>
      <c r="Q335" s="16"/>
      <c r="R335" s="18"/>
      <c r="S335" s="16"/>
      <c r="T335" s="5" t="s">
        <v>34</v>
      </c>
      <c r="U335" s="21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6.5" customHeight="1">
      <c r="A336" s="7" t="b">
        <v>0</v>
      </c>
      <c r="B336" s="6" t="s">
        <v>79</v>
      </c>
      <c r="C336" s="6" t="s">
        <v>743</v>
      </c>
      <c r="D336" s="6" t="s">
        <v>764</v>
      </c>
      <c r="E336" s="6" t="s">
        <v>60</v>
      </c>
      <c r="F336" s="32" t="s">
        <v>182</v>
      </c>
      <c r="G336" s="6" t="s">
        <v>26</v>
      </c>
      <c r="H336" s="19">
        <v>200000.0</v>
      </c>
      <c r="I336" s="34" t="s">
        <v>62</v>
      </c>
      <c r="J336" s="22">
        <v>602.0</v>
      </c>
      <c r="K336" s="22">
        <v>413.0</v>
      </c>
      <c r="L336" s="22">
        <v>3422.0</v>
      </c>
      <c r="M336" s="23">
        <v>0.43</v>
      </c>
      <c r="N336" s="24">
        <v>5.2</v>
      </c>
      <c r="O336" s="26" t="s">
        <v>71</v>
      </c>
      <c r="P336" s="26" t="s">
        <v>77</v>
      </c>
      <c r="Q336" s="27">
        <f>L336/J336</f>
        <v>5.684385382</v>
      </c>
      <c r="R336" s="23">
        <f>0+((ABS(0.5-M336)*1))</f>
        <v>0.07</v>
      </c>
      <c r="S336" s="27">
        <f>Q336*(R336+1)</f>
        <v>6.082292359</v>
      </c>
      <c r="T336" s="6" t="s">
        <v>165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6.5" customHeight="1">
      <c r="A337" s="7" t="b">
        <v>0</v>
      </c>
      <c r="B337" s="5" t="s">
        <v>58</v>
      </c>
      <c r="C337" s="5" t="s">
        <v>743</v>
      </c>
      <c r="D337" s="5" t="s">
        <v>765</v>
      </c>
      <c r="E337" s="5" t="s">
        <v>171</v>
      </c>
      <c r="F337" s="32" t="s">
        <v>182</v>
      </c>
      <c r="G337" s="5" t="s">
        <v>26</v>
      </c>
      <c r="H337" s="9"/>
      <c r="I337" s="48"/>
      <c r="J337" s="9"/>
      <c r="K337" s="9"/>
      <c r="L337" s="9"/>
      <c r="M337" s="28"/>
      <c r="N337" s="29"/>
      <c r="O337" s="30"/>
      <c r="P337" s="30"/>
      <c r="Q337" s="16"/>
      <c r="R337" s="18"/>
      <c r="S337" s="16"/>
      <c r="T337" s="5" t="s">
        <v>103</v>
      </c>
      <c r="U337" s="21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6.5" customHeight="1">
      <c r="A338" s="7" t="b">
        <v>0</v>
      </c>
      <c r="B338" s="6" t="s">
        <v>180</v>
      </c>
      <c r="C338" s="6" t="s">
        <v>743</v>
      </c>
      <c r="D338" s="6" t="s">
        <v>766</v>
      </c>
      <c r="E338" s="6" t="s">
        <v>231</v>
      </c>
      <c r="F338" s="32" t="s">
        <v>604</v>
      </c>
      <c r="G338" s="6" t="s">
        <v>26</v>
      </c>
      <c r="H338" s="19">
        <v>325000.0</v>
      </c>
      <c r="I338" s="35" t="s">
        <v>76</v>
      </c>
      <c r="J338" s="22">
        <v>630.0</v>
      </c>
      <c r="K338" s="22">
        <v>416.0</v>
      </c>
      <c r="L338" s="22">
        <v>3239.0</v>
      </c>
      <c r="M338" s="23">
        <v>0.41</v>
      </c>
      <c r="N338" s="24">
        <v>5.2</v>
      </c>
      <c r="O338" s="26" t="s">
        <v>29</v>
      </c>
      <c r="P338" s="26" t="s">
        <v>77</v>
      </c>
      <c r="Q338" s="27">
        <f t="shared" ref="Q338:Q342" si="121">L338/J338</f>
        <v>5.141269841</v>
      </c>
      <c r="R338" s="23">
        <f t="shared" ref="R338:R342" si="122">0+((ABS(0.5-M338)*1))</f>
        <v>0.09</v>
      </c>
      <c r="S338" s="27">
        <f t="shared" ref="S338:S342" si="123">Q338*(R338+1)</f>
        <v>5.603984127</v>
      </c>
      <c r="T338" s="6" t="s">
        <v>40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6.5" customHeight="1">
      <c r="A339" s="7" t="b">
        <v>0</v>
      </c>
      <c r="B339" s="6" t="s">
        <v>58</v>
      </c>
      <c r="C339" s="6" t="s">
        <v>743</v>
      </c>
      <c r="D339" s="6" t="s">
        <v>767</v>
      </c>
      <c r="E339" s="6" t="s">
        <v>60</v>
      </c>
      <c r="F339" s="32" t="s">
        <v>768</v>
      </c>
      <c r="G339" s="6" t="s">
        <v>26</v>
      </c>
      <c r="H339" s="19">
        <v>365000.0</v>
      </c>
      <c r="I339" s="35" t="s">
        <v>76</v>
      </c>
      <c r="J339" s="22">
        <v>630.0</v>
      </c>
      <c r="K339" s="22">
        <v>416.0</v>
      </c>
      <c r="L339" s="22">
        <v>3401.0</v>
      </c>
      <c r="M339" s="23">
        <v>0.41</v>
      </c>
      <c r="N339" s="24">
        <v>5.2</v>
      </c>
      <c r="O339" s="26" t="s">
        <v>29</v>
      </c>
      <c r="P339" s="26" t="s">
        <v>77</v>
      </c>
      <c r="Q339" s="27">
        <f t="shared" si="121"/>
        <v>5.398412698</v>
      </c>
      <c r="R339" s="23">
        <f t="shared" si="122"/>
        <v>0.09</v>
      </c>
      <c r="S339" s="27">
        <f t="shared" si="123"/>
        <v>5.884269841</v>
      </c>
      <c r="T339" s="6" t="s">
        <v>40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6.5" customHeight="1">
      <c r="A340" s="7" t="b">
        <v>0</v>
      </c>
      <c r="B340" s="6" t="s">
        <v>352</v>
      </c>
      <c r="C340" s="6" t="s">
        <v>743</v>
      </c>
      <c r="D340" s="6" t="s">
        <v>769</v>
      </c>
      <c r="E340" s="6" t="s">
        <v>99</v>
      </c>
      <c r="F340" s="25" t="s">
        <v>770</v>
      </c>
      <c r="G340" s="6" t="s">
        <v>26</v>
      </c>
      <c r="H340" s="19">
        <v>1700000.0</v>
      </c>
      <c r="I340" s="35" t="s">
        <v>76</v>
      </c>
      <c r="J340" s="22">
        <v>350.0</v>
      </c>
      <c r="K340" s="22">
        <v>272.0</v>
      </c>
      <c r="L340" s="22">
        <v>2745.0</v>
      </c>
      <c r="M340" s="23">
        <v>0.44</v>
      </c>
      <c r="N340" s="24">
        <v>3.93</v>
      </c>
      <c r="O340" s="26" t="s">
        <v>29</v>
      </c>
      <c r="P340" s="26" t="s">
        <v>77</v>
      </c>
      <c r="Q340" s="27">
        <f t="shared" si="121"/>
        <v>7.842857143</v>
      </c>
      <c r="R340" s="23">
        <f t="shared" si="122"/>
        <v>0.06</v>
      </c>
      <c r="S340" s="27">
        <f t="shared" si="123"/>
        <v>8.313428571</v>
      </c>
      <c r="T340" s="6" t="s">
        <v>40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6.5" customHeight="1">
      <c r="A341" s="7" t="b">
        <v>0</v>
      </c>
      <c r="B341" s="6" t="s">
        <v>217</v>
      </c>
      <c r="C341" s="6" t="s">
        <v>743</v>
      </c>
      <c r="D341" s="6" t="s">
        <v>771</v>
      </c>
      <c r="E341" s="6" t="s">
        <v>60</v>
      </c>
      <c r="F341" s="32" t="s">
        <v>395</v>
      </c>
      <c r="G341" s="6" t="s">
        <v>26</v>
      </c>
      <c r="H341" s="19">
        <v>100000.0</v>
      </c>
      <c r="I341" s="34" t="s">
        <v>62</v>
      </c>
      <c r="J341" s="22">
        <v>661.0</v>
      </c>
      <c r="K341" s="22">
        <v>487.0</v>
      </c>
      <c r="L341" s="22">
        <v>3794.0</v>
      </c>
      <c r="M341" s="23">
        <v>0.42</v>
      </c>
      <c r="N341" s="24">
        <v>6.5</v>
      </c>
      <c r="O341" s="26" t="s">
        <v>71</v>
      </c>
      <c r="P341" s="26" t="s">
        <v>77</v>
      </c>
      <c r="Q341" s="27">
        <f t="shared" si="121"/>
        <v>5.7397882</v>
      </c>
      <c r="R341" s="23">
        <f t="shared" si="122"/>
        <v>0.08</v>
      </c>
      <c r="S341" s="27">
        <f t="shared" si="123"/>
        <v>6.198971256</v>
      </c>
      <c r="T341" s="6" t="s">
        <v>40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6.5" customHeight="1">
      <c r="A342" s="7" t="b">
        <v>0</v>
      </c>
      <c r="B342" s="6" t="s">
        <v>292</v>
      </c>
      <c r="C342" s="6" t="s">
        <v>743</v>
      </c>
      <c r="D342" s="6" t="s">
        <v>772</v>
      </c>
      <c r="E342" s="6" t="s">
        <v>156</v>
      </c>
      <c r="F342" s="50" t="s">
        <v>773</v>
      </c>
      <c r="G342" s="6" t="s">
        <v>26</v>
      </c>
      <c r="H342" s="19">
        <v>365000.0</v>
      </c>
      <c r="I342" s="35" t="s">
        <v>76</v>
      </c>
      <c r="J342" s="22">
        <v>1001.0</v>
      </c>
      <c r="K342" s="22">
        <v>739.0</v>
      </c>
      <c r="L342" s="22">
        <v>4047.0</v>
      </c>
      <c r="M342" s="23">
        <v>0.44</v>
      </c>
      <c r="N342" s="24">
        <v>6.5</v>
      </c>
      <c r="O342" s="26" t="s">
        <v>71</v>
      </c>
      <c r="P342" s="26" t="s">
        <v>77</v>
      </c>
      <c r="Q342" s="27">
        <f t="shared" si="121"/>
        <v>4.042957043</v>
      </c>
      <c r="R342" s="23">
        <f t="shared" si="122"/>
        <v>0.06</v>
      </c>
      <c r="S342" s="27">
        <f t="shared" si="123"/>
        <v>4.285534466</v>
      </c>
      <c r="T342" s="6" t="s">
        <v>122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6.5" customHeight="1">
      <c r="A343" s="7" t="b">
        <v>0</v>
      </c>
      <c r="B343" s="5" t="s">
        <v>187</v>
      </c>
      <c r="C343" s="5" t="s">
        <v>743</v>
      </c>
      <c r="D343" s="5" t="s">
        <v>774</v>
      </c>
      <c r="E343" s="5" t="s">
        <v>126</v>
      </c>
      <c r="F343" s="50" t="s">
        <v>625</v>
      </c>
      <c r="G343" s="5" t="s">
        <v>26</v>
      </c>
      <c r="H343" s="9"/>
      <c r="I343" s="48"/>
      <c r="J343" s="9"/>
      <c r="K343" s="9"/>
      <c r="L343" s="9"/>
      <c r="M343" s="28"/>
      <c r="N343" s="29"/>
      <c r="O343" s="30"/>
      <c r="P343" s="30"/>
      <c r="Q343" s="16"/>
      <c r="R343" s="18"/>
      <c r="S343" s="16"/>
      <c r="T343" s="5" t="s">
        <v>129</v>
      </c>
      <c r="U343" s="21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6.5" customHeight="1">
      <c r="A344" s="7" t="b">
        <v>0</v>
      </c>
      <c r="B344" s="6" t="s">
        <v>180</v>
      </c>
      <c r="C344" s="6" t="s">
        <v>743</v>
      </c>
      <c r="D344" s="6" t="s">
        <v>775</v>
      </c>
      <c r="E344" s="6" t="s">
        <v>156</v>
      </c>
      <c r="F344" s="32" t="s">
        <v>776</v>
      </c>
      <c r="G344" s="6" t="s">
        <v>26</v>
      </c>
      <c r="H344" s="19">
        <v>2500000.0</v>
      </c>
      <c r="I344" s="35" t="s">
        <v>76</v>
      </c>
      <c r="J344" s="22">
        <v>808.0</v>
      </c>
      <c r="K344" s="22">
        <v>556.0</v>
      </c>
      <c r="L344" s="22">
        <v>3827.0</v>
      </c>
      <c r="M344" s="23">
        <v>0.43</v>
      </c>
      <c r="N344" s="24">
        <v>6.5</v>
      </c>
      <c r="O344" s="26" t="s">
        <v>71</v>
      </c>
      <c r="P344" s="26" t="s">
        <v>77</v>
      </c>
      <c r="Q344" s="27">
        <f>L344/J344</f>
        <v>4.736386139</v>
      </c>
      <c r="R344" s="23">
        <f>0+((ABS(0.5-M344)*1))</f>
        <v>0.07</v>
      </c>
      <c r="S344" s="27">
        <f>Q344*(R344+1)</f>
        <v>5.067933168</v>
      </c>
      <c r="T344" s="6" t="s">
        <v>40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6.5" customHeight="1">
      <c r="A345" s="7" t="b">
        <v>0</v>
      </c>
      <c r="B345" s="5" t="s">
        <v>292</v>
      </c>
      <c r="C345" s="5" t="s">
        <v>743</v>
      </c>
      <c r="D345" s="5" t="s">
        <v>777</v>
      </c>
      <c r="E345" s="5" t="s">
        <v>156</v>
      </c>
      <c r="F345" s="50" t="s">
        <v>778</v>
      </c>
      <c r="G345" s="5" t="s">
        <v>26</v>
      </c>
      <c r="H345" s="9">
        <v>250000.0</v>
      </c>
      <c r="I345" s="35" t="s">
        <v>76</v>
      </c>
      <c r="J345" s="9"/>
      <c r="K345" s="9"/>
      <c r="L345" s="9"/>
      <c r="M345" s="28"/>
      <c r="N345" s="29"/>
      <c r="O345" s="30"/>
      <c r="P345" s="30"/>
      <c r="Q345" s="16"/>
      <c r="R345" s="18"/>
      <c r="S345" s="16"/>
      <c r="T345" s="5" t="s">
        <v>34</v>
      </c>
      <c r="U345" s="21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6.5" customHeight="1">
      <c r="A346" s="7" t="b">
        <v>0</v>
      </c>
      <c r="B346" s="6" t="s">
        <v>123</v>
      </c>
      <c r="C346" s="6" t="s">
        <v>743</v>
      </c>
      <c r="D346" s="6" t="s">
        <v>779</v>
      </c>
      <c r="E346" s="6" t="s">
        <v>153</v>
      </c>
      <c r="F346" s="36" t="s">
        <v>780</v>
      </c>
      <c r="G346" s="6" t="s">
        <v>26</v>
      </c>
      <c r="H346" s="19">
        <v>200000.0</v>
      </c>
      <c r="I346" s="10" t="s">
        <v>27</v>
      </c>
      <c r="J346" s="22">
        <v>641.0</v>
      </c>
      <c r="K346" s="22">
        <v>626.0</v>
      </c>
      <c r="L346" s="22">
        <v>4850.0</v>
      </c>
      <c r="M346" s="23">
        <v>0.52</v>
      </c>
      <c r="N346" s="24">
        <v>4.0</v>
      </c>
      <c r="O346" s="26" t="s">
        <v>71</v>
      </c>
      <c r="P346" s="26" t="s">
        <v>30</v>
      </c>
      <c r="Q346" s="27">
        <f t="shared" ref="Q346:Q347" si="124">L346/J346</f>
        <v>7.566302652</v>
      </c>
      <c r="R346" s="23">
        <f t="shared" ref="R346:R347" si="125">0+((ABS(0.5-M346)*1))</f>
        <v>0.02</v>
      </c>
      <c r="S346" s="27">
        <f t="shared" ref="S346:S347" si="126">Q346*(R346+1)</f>
        <v>7.717628705</v>
      </c>
      <c r="T346" s="6" t="s">
        <v>122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6.5" customHeight="1">
      <c r="A347" s="7" t="b">
        <v>0</v>
      </c>
      <c r="B347" s="6" t="s">
        <v>130</v>
      </c>
      <c r="C347" s="6" t="s">
        <v>743</v>
      </c>
      <c r="D347" s="6" t="s">
        <v>781</v>
      </c>
      <c r="E347" s="6" t="s">
        <v>156</v>
      </c>
      <c r="F347" s="50" t="s">
        <v>782</v>
      </c>
      <c r="G347" s="6" t="s">
        <v>26</v>
      </c>
      <c r="H347" s="19">
        <v>3950000.0</v>
      </c>
      <c r="I347" s="35" t="s">
        <v>76</v>
      </c>
      <c r="J347" s="22">
        <v>740.0</v>
      </c>
      <c r="K347" s="22">
        <v>508.0</v>
      </c>
      <c r="L347" s="22">
        <v>3629.0</v>
      </c>
      <c r="M347" s="23">
        <v>0.43</v>
      </c>
      <c r="N347" s="24">
        <v>6.5</v>
      </c>
      <c r="O347" s="26" t="s">
        <v>71</v>
      </c>
      <c r="P347" s="26" t="s">
        <v>77</v>
      </c>
      <c r="Q347" s="27">
        <f t="shared" si="124"/>
        <v>4.904054054</v>
      </c>
      <c r="R347" s="23">
        <f t="shared" si="125"/>
        <v>0.07</v>
      </c>
      <c r="S347" s="27">
        <f t="shared" si="126"/>
        <v>5.247337838</v>
      </c>
      <c r="T347" s="6" t="s">
        <v>40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6.5" customHeight="1">
      <c r="A348" s="7" t="b">
        <v>0</v>
      </c>
      <c r="B348" s="5" t="s">
        <v>402</v>
      </c>
      <c r="C348" s="5" t="s">
        <v>783</v>
      </c>
      <c r="D348" s="5" t="s">
        <v>784</v>
      </c>
      <c r="E348" s="5" t="s">
        <v>215</v>
      </c>
      <c r="F348" s="25" t="s">
        <v>785</v>
      </c>
      <c r="G348" s="5" t="s">
        <v>26</v>
      </c>
      <c r="H348" s="9">
        <v>600000.0</v>
      </c>
      <c r="I348" s="33" t="s">
        <v>62</v>
      </c>
      <c r="J348" s="9"/>
      <c r="K348" s="9"/>
      <c r="L348" s="9"/>
      <c r="M348" s="28"/>
      <c r="N348" s="29"/>
      <c r="O348" s="30"/>
      <c r="P348" s="30"/>
      <c r="Q348" s="16"/>
      <c r="R348" s="18"/>
      <c r="S348" s="16"/>
      <c r="T348" s="5" t="s">
        <v>34</v>
      </c>
      <c r="U348" s="21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6.5" customHeight="1">
      <c r="A349" s="7" t="b">
        <v>0</v>
      </c>
      <c r="B349" s="6" t="s">
        <v>66</v>
      </c>
      <c r="C349" s="6" t="s">
        <v>783</v>
      </c>
      <c r="D349" s="6" t="s">
        <v>786</v>
      </c>
      <c r="E349" s="6" t="s">
        <v>215</v>
      </c>
      <c r="F349" s="8" t="s">
        <v>787</v>
      </c>
      <c r="G349" s="6" t="s">
        <v>26</v>
      </c>
      <c r="H349" s="19">
        <v>110000.0</v>
      </c>
      <c r="I349" s="20" t="s">
        <v>33</v>
      </c>
      <c r="J349" s="22">
        <v>210.0</v>
      </c>
      <c r="K349" s="22">
        <v>224.0</v>
      </c>
      <c r="L349" s="22">
        <v>2866.0</v>
      </c>
      <c r="M349" s="23">
        <v>0.63</v>
      </c>
      <c r="N349" s="24">
        <v>2.0</v>
      </c>
      <c r="O349" s="26" t="s">
        <v>71</v>
      </c>
      <c r="P349" s="26" t="s">
        <v>30</v>
      </c>
      <c r="Q349" s="27">
        <f t="shared" ref="Q349:Q350" si="127">L349/J349</f>
        <v>13.64761905</v>
      </c>
      <c r="R349" s="23">
        <f t="shared" ref="R349:R350" si="128">0+((ABS(0.5-M349)*1))</f>
        <v>0.13</v>
      </c>
      <c r="S349" s="27">
        <f t="shared" ref="S349:S350" si="129">Q349*(R349+1)</f>
        <v>15.42180952</v>
      </c>
      <c r="T349" s="6" t="s">
        <v>40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6.5" customHeight="1">
      <c r="A350" s="7" t="b">
        <v>0</v>
      </c>
      <c r="B350" s="6" t="s">
        <v>168</v>
      </c>
      <c r="C350" s="6" t="s">
        <v>783</v>
      </c>
      <c r="D350" s="6" t="s">
        <v>788</v>
      </c>
      <c r="E350" s="6" t="s">
        <v>215</v>
      </c>
      <c r="F350" s="25" t="s">
        <v>693</v>
      </c>
      <c r="G350" s="6" t="s">
        <v>26</v>
      </c>
      <c r="H350" s="19">
        <v>55000.0</v>
      </c>
      <c r="I350" s="10" t="s">
        <v>27</v>
      </c>
      <c r="J350" s="22">
        <v>247.0</v>
      </c>
      <c r="K350" s="22">
        <v>214.0</v>
      </c>
      <c r="L350" s="22">
        <v>2646.0</v>
      </c>
      <c r="M350" s="23">
        <v>0.45</v>
      </c>
      <c r="N350" s="24">
        <v>1.76</v>
      </c>
      <c r="O350" s="26" t="s">
        <v>71</v>
      </c>
      <c r="P350" s="26" t="s">
        <v>77</v>
      </c>
      <c r="Q350" s="27">
        <f t="shared" si="127"/>
        <v>10.71255061</v>
      </c>
      <c r="R350" s="23">
        <f t="shared" si="128"/>
        <v>0.05</v>
      </c>
      <c r="S350" s="27">
        <f t="shared" si="129"/>
        <v>11.24817814</v>
      </c>
      <c r="T350" s="6" t="s">
        <v>40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6.5" customHeight="1">
      <c r="A351" s="7" t="b">
        <v>0</v>
      </c>
      <c r="B351" s="5" t="s">
        <v>658</v>
      </c>
      <c r="C351" s="5" t="s">
        <v>783</v>
      </c>
      <c r="D351" s="5" t="s">
        <v>789</v>
      </c>
      <c r="E351" s="5" t="s">
        <v>46</v>
      </c>
      <c r="F351" s="8" t="s">
        <v>790</v>
      </c>
      <c r="G351" s="5" t="s">
        <v>26</v>
      </c>
      <c r="H351" s="9">
        <v>680000.0</v>
      </c>
      <c r="I351" s="35" t="s">
        <v>255</v>
      </c>
      <c r="J351" s="9"/>
      <c r="K351" s="9"/>
      <c r="L351" s="9"/>
      <c r="M351" s="28"/>
      <c r="N351" s="29"/>
      <c r="O351" s="30"/>
      <c r="P351" s="30"/>
      <c r="Q351" s="16"/>
      <c r="R351" s="18"/>
      <c r="S351" s="16"/>
      <c r="T351" s="5" t="s">
        <v>256</v>
      </c>
      <c r="U351" s="21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6.5" customHeight="1">
      <c r="A352" s="7" t="b">
        <v>0</v>
      </c>
      <c r="B352" s="6" t="s">
        <v>180</v>
      </c>
      <c r="C352" s="6" t="s">
        <v>791</v>
      </c>
      <c r="D352" s="6" t="s">
        <v>792</v>
      </c>
      <c r="E352" s="6" t="s">
        <v>153</v>
      </c>
      <c r="F352" s="8" t="s">
        <v>371</v>
      </c>
      <c r="G352" s="6" t="s">
        <v>134</v>
      </c>
      <c r="H352" s="19">
        <v>250000.0</v>
      </c>
      <c r="I352" s="20" t="s">
        <v>33</v>
      </c>
      <c r="J352" s="22">
        <v>395.0</v>
      </c>
      <c r="K352" s="22">
        <v>406.0</v>
      </c>
      <c r="L352" s="22">
        <v>5260.0</v>
      </c>
      <c r="M352" s="23">
        <v>0.55</v>
      </c>
      <c r="N352" s="24">
        <v>3.0</v>
      </c>
      <c r="O352" s="26" t="s">
        <v>71</v>
      </c>
      <c r="P352" s="26" t="s">
        <v>30</v>
      </c>
      <c r="Q352" s="27">
        <f t="shared" ref="Q352:Q355" si="130">L352/J352</f>
        <v>13.3164557</v>
      </c>
      <c r="R352" s="23">
        <f t="shared" ref="R352:R355" si="131">0+((ABS(0.5-M352)*1))</f>
        <v>0.05</v>
      </c>
      <c r="S352" s="27">
        <f t="shared" ref="S352:S355" si="132">Q352*(R352+1)</f>
        <v>13.98227848</v>
      </c>
      <c r="T352" s="6" t="s">
        <v>72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6.5" customHeight="1">
      <c r="A353" s="7" t="b">
        <v>0</v>
      </c>
      <c r="B353" s="6" t="s">
        <v>116</v>
      </c>
      <c r="C353" s="6" t="s">
        <v>791</v>
      </c>
      <c r="D353" s="6" t="s">
        <v>793</v>
      </c>
      <c r="E353" s="6" t="s">
        <v>153</v>
      </c>
      <c r="F353" s="36" t="s">
        <v>794</v>
      </c>
      <c r="G353" s="6" t="s">
        <v>134</v>
      </c>
      <c r="H353" s="19">
        <v>48000.0</v>
      </c>
      <c r="I353" s="10" t="s">
        <v>27</v>
      </c>
      <c r="J353" s="22">
        <v>550.0</v>
      </c>
      <c r="K353" s="22">
        <v>502.0</v>
      </c>
      <c r="L353" s="22">
        <v>5148.0</v>
      </c>
      <c r="M353" s="23">
        <v>0.52</v>
      </c>
      <c r="N353" s="24">
        <v>5.0</v>
      </c>
      <c r="O353" s="26" t="s">
        <v>71</v>
      </c>
      <c r="P353" s="26" t="s">
        <v>30</v>
      </c>
      <c r="Q353" s="27">
        <f t="shared" si="130"/>
        <v>9.36</v>
      </c>
      <c r="R353" s="23">
        <f t="shared" si="131"/>
        <v>0.02</v>
      </c>
      <c r="S353" s="27">
        <f t="shared" si="132"/>
        <v>9.5472</v>
      </c>
      <c r="T353" s="6" t="s">
        <v>122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6.5" customHeight="1">
      <c r="A354" s="7" t="b">
        <v>0</v>
      </c>
      <c r="B354" s="6" t="s">
        <v>90</v>
      </c>
      <c r="C354" s="6" t="s">
        <v>795</v>
      </c>
      <c r="D354" s="6" t="s">
        <v>796</v>
      </c>
      <c r="E354" s="6" t="s">
        <v>84</v>
      </c>
      <c r="F354" s="25" t="s">
        <v>797</v>
      </c>
      <c r="G354" s="6" t="s">
        <v>52</v>
      </c>
      <c r="H354" s="19">
        <v>79000.0</v>
      </c>
      <c r="I354" s="10" t="s">
        <v>27</v>
      </c>
      <c r="J354" s="22">
        <v>471.0</v>
      </c>
      <c r="K354" s="22">
        <v>398.0</v>
      </c>
      <c r="L354" s="22">
        <v>4266.0</v>
      </c>
      <c r="M354" s="23">
        <v>0.54</v>
      </c>
      <c r="N354" s="24">
        <v>4.97</v>
      </c>
      <c r="O354" s="26" t="s">
        <v>29</v>
      </c>
      <c r="P354" s="26" t="s">
        <v>30</v>
      </c>
      <c r="Q354" s="27">
        <f t="shared" si="130"/>
        <v>9.057324841</v>
      </c>
      <c r="R354" s="23">
        <f t="shared" si="131"/>
        <v>0.04</v>
      </c>
      <c r="S354" s="27">
        <f t="shared" si="132"/>
        <v>9.419617834</v>
      </c>
      <c r="T354" s="6" t="s">
        <v>40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6.5" customHeight="1">
      <c r="A355" s="7" t="b">
        <v>0</v>
      </c>
      <c r="B355" s="6" t="s">
        <v>217</v>
      </c>
      <c r="C355" s="6" t="s">
        <v>795</v>
      </c>
      <c r="D355" s="6" t="s">
        <v>798</v>
      </c>
      <c r="E355" s="6" t="s">
        <v>60</v>
      </c>
      <c r="F355" s="36" t="s">
        <v>799</v>
      </c>
      <c r="G355" s="6" t="s">
        <v>52</v>
      </c>
      <c r="H355" s="19">
        <v>875000.0</v>
      </c>
      <c r="I355" s="34" t="s">
        <v>62</v>
      </c>
      <c r="J355" s="22">
        <v>552.0</v>
      </c>
      <c r="K355" s="22">
        <v>354.0</v>
      </c>
      <c r="L355" s="22">
        <v>3263.0</v>
      </c>
      <c r="M355" s="23">
        <v>0.48</v>
      </c>
      <c r="N355" s="24">
        <v>4.81</v>
      </c>
      <c r="O355" s="26" t="s">
        <v>29</v>
      </c>
      <c r="P355" s="26" t="s">
        <v>77</v>
      </c>
      <c r="Q355" s="27">
        <f t="shared" si="130"/>
        <v>5.911231884</v>
      </c>
      <c r="R355" s="23">
        <f t="shared" si="131"/>
        <v>0.02</v>
      </c>
      <c r="S355" s="27">
        <f t="shared" si="132"/>
        <v>6.029456522</v>
      </c>
      <c r="T355" s="6" t="s">
        <v>72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6.5" customHeight="1">
      <c r="A356" s="7" t="b">
        <v>0</v>
      </c>
      <c r="B356" s="5" t="s">
        <v>217</v>
      </c>
      <c r="C356" s="5" t="s">
        <v>795</v>
      </c>
      <c r="D356" s="5" t="s">
        <v>800</v>
      </c>
      <c r="E356" s="5" t="s">
        <v>126</v>
      </c>
      <c r="F356" s="50" t="s">
        <v>488</v>
      </c>
      <c r="G356" s="5" t="s">
        <v>52</v>
      </c>
      <c r="H356" s="9"/>
      <c r="I356" s="48"/>
      <c r="J356" s="9"/>
      <c r="K356" s="9"/>
      <c r="L356" s="9"/>
      <c r="M356" s="28"/>
      <c r="N356" s="29"/>
      <c r="O356" s="30"/>
      <c r="P356" s="30"/>
      <c r="Q356" s="16"/>
      <c r="R356" s="18"/>
      <c r="S356" s="16"/>
      <c r="T356" s="5" t="s">
        <v>103</v>
      </c>
      <c r="U356" s="21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6.5" customHeight="1">
      <c r="A357" s="7" t="b">
        <v>0</v>
      </c>
      <c r="B357" s="6" t="s">
        <v>116</v>
      </c>
      <c r="C357" s="6" t="s">
        <v>795</v>
      </c>
      <c r="D357" s="6" t="s">
        <v>801</v>
      </c>
      <c r="E357" s="6" t="s">
        <v>92</v>
      </c>
      <c r="F357" s="36" t="s">
        <v>802</v>
      </c>
      <c r="G357" s="6" t="s">
        <v>52</v>
      </c>
      <c r="H357" s="19">
        <v>35000.0</v>
      </c>
      <c r="I357" s="10" t="s">
        <v>27</v>
      </c>
      <c r="J357" s="22">
        <v>467.0</v>
      </c>
      <c r="K357" s="22">
        <v>388.0</v>
      </c>
      <c r="L357" s="22">
        <v>3957.0</v>
      </c>
      <c r="M357" s="23">
        <v>0.55</v>
      </c>
      <c r="N357" s="24">
        <v>4.97</v>
      </c>
      <c r="O357" s="26" t="s">
        <v>29</v>
      </c>
      <c r="P357" s="26" t="s">
        <v>30</v>
      </c>
      <c r="Q357" s="27">
        <f>L357/J357</f>
        <v>8.473233405</v>
      </c>
      <c r="R357" s="23">
        <f>0+((ABS(0.5-M357)*1))</f>
        <v>0.05</v>
      </c>
      <c r="S357" s="27">
        <f>Q357*(R357+1)</f>
        <v>8.896895075</v>
      </c>
      <c r="T357" s="6" t="s">
        <v>40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6.5" customHeight="1">
      <c r="A358" s="7" t="b">
        <v>0</v>
      </c>
      <c r="B358" s="5" t="s">
        <v>439</v>
      </c>
      <c r="C358" s="5" t="s">
        <v>803</v>
      </c>
      <c r="D358" s="5" t="s">
        <v>804</v>
      </c>
      <c r="E358" s="5" t="s">
        <v>325</v>
      </c>
      <c r="F358" s="17" t="s">
        <v>805</v>
      </c>
      <c r="G358" s="5" t="s">
        <v>52</v>
      </c>
      <c r="H358" s="9">
        <v>65000.0</v>
      </c>
      <c r="I358" s="48"/>
      <c r="J358" s="9"/>
      <c r="K358" s="9"/>
      <c r="L358" s="9"/>
      <c r="M358" s="28"/>
      <c r="N358" s="29"/>
      <c r="O358" s="30"/>
      <c r="P358" s="30"/>
      <c r="Q358" s="16"/>
      <c r="R358" s="18"/>
      <c r="S358" s="16"/>
      <c r="T358" s="5" t="s">
        <v>256</v>
      </c>
      <c r="U358" s="21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6.5" customHeight="1">
      <c r="A359" s="7" t="b">
        <v>0</v>
      </c>
      <c r="B359" s="6" t="s">
        <v>266</v>
      </c>
      <c r="C359" s="6" t="s">
        <v>806</v>
      </c>
      <c r="D359" s="6" t="s">
        <v>807</v>
      </c>
      <c r="E359" s="6" t="s">
        <v>253</v>
      </c>
      <c r="F359" s="32" t="s">
        <v>808</v>
      </c>
      <c r="G359" s="6" t="s">
        <v>134</v>
      </c>
      <c r="H359" s="19">
        <v>1500000.0</v>
      </c>
      <c r="I359" s="35" t="s">
        <v>76</v>
      </c>
      <c r="J359" s="22">
        <v>350.0</v>
      </c>
      <c r="K359" s="22">
        <v>295.0</v>
      </c>
      <c r="L359" s="22">
        <v>2425.0</v>
      </c>
      <c r="M359" s="23">
        <v>0.42</v>
      </c>
      <c r="N359" s="24">
        <v>3.51</v>
      </c>
      <c r="O359" s="26" t="s">
        <v>29</v>
      </c>
      <c r="P359" s="26" t="s">
        <v>77</v>
      </c>
      <c r="Q359" s="27">
        <f t="shared" ref="Q359:Q360" si="133">L359/J359</f>
        <v>6.928571429</v>
      </c>
      <c r="R359" s="23">
        <f t="shared" ref="R359:R360" si="134">0+((ABS(0.5-M359)*1))</f>
        <v>0.08</v>
      </c>
      <c r="S359" s="27">
        <f t="shared" ref="S359:S360" si="135">Q359*(R359+1)</f>
        <v>7.482857143</v>
      </c>
      <c r="T359" s="6" t="s">
        <v>40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6.5" customHeight="1">
      <c r="A360" s="7" t="b">
        <v>0</v>
      </c>
      <c r="B360" s="6" t="s">
        <v>427</v>
      </c>
      <c r="C360" s="6" t="s">
        <v>806</v>
      </c>
      <c r="D360" s="6" t="s">
        <v>809</v>
      </c>
      <c r="E360" s="6" t="s">
        <v>148</v>
      </c>
      <c r="F360" s="25" t="s">
        <v>810</v>
      </c>
      <c r="G360" s="6" t="s">
        <v>134</v>
      </c>
      <c r="H360" s="19">
        <v>47000.0</v>
      </c>
      <c r="I360" s="20" t="s">
        <v>33</v>
      </c>
      <c r="J360" s="22">
        <v>190.0</v>
      </c>
      <c r="K360" s="22">
        <v>140.0</v>
      </c>
      <c r="L360" s="22">
        <v>1477.0</v>
      </c>
      <c r="M360" s="23">
        <v>0.39</v>
      </c>
      <c r="N360" s="24">
        <v>1.8</v>
      </c>
      <c r="O360" s="26" t="s">
        <v>29</v>
      </c>
      <c r="P360" s="26" t="s">
        <v>77</v>
      </c>
      <c r="Q360" s="27">
        <f t="shared" si="133"/>
        <v>7.773684211</v>
      </c>
      <c r="R360" s="23">
        <f t="shared" si="134"/>
        <v>0.11</v>
      </c>
      <c r="S360" s="27">
        <f t="shared" si="135"/>
        <v>8.628789474</v>
      </c>
      <c r="T360" s="6" t="s">
        <v>40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6.5" customHeight="1">
      <c r="A361" s="7" t="b">
        <v>0</v>
      </c>
      <c r="B361" s="5" t="s">
        <v>48</v>
      </c>
      <c r="C361" s="5" t="s">
        <v>806</v>
      </c>
      <c r="D361" s="5" t="s">
        <v>811</v>
      </c>
      <c r="E361" s="5" t="s">
        <v>24</v>
      </c>
      <c r="F361" s="36" t="s">
        <v>260</v>
      </c>
      <c r="G361" s="5" t="s">
        <v>134</v>
      </c>
      <c r="H361" s="9">
        <v>250000.0</v>
      </c>
      <c r="I361" s="10" t="s">
        <v>27</v>
      </c>
      <c r="J361" s="9"/>
      <c r="K361" s="9"/>
      <c r="L361" s="9"/>
      <c r="M361" s="28"/>
      <c r="N361" s="29"/>
      <c r="O361" s="30"/>
      <c r="P361" s="30"/>
      <c r="Q361" s="16"/>
      <c r="R361" s="18"/>
      <c r="S361" s="16"/>
      <c r="T361" s="5" t="s">
        <v>34</v>
      </c>
      <c r="U361" s="21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6.5" customHeight="1">
      <c r="A362" s="7" t="b">
        <v>0</v>
      </c>
      <c r="B362" s="6" t="s">
        <v>180</v>
      </c>
      <c r="C362" s="6" t="s">
        <v>806</v>
      </c>
      <c r="D362" s="6" t="s">
        <v>812</v>
      </c>
      <c r="E362" s="6" t="s">
        <v>156</v>
      </c>
      <c r="F362" s="49" t="s">
        <v>813</v>
      </c>
      <c r="G362" s="6" t="s">
        <v>134</v>
      </c>
      <c r="H362" s="19">
        <v>2450000.0</v>
      </c>
      <c r="I362" s="35" t="s">
        <v>76</v>
      </c>
      <c r="J362" s="22">
        <v>1973.0</v>
      </c>
      <c r="K362" s="22">
        <v>1253.0</v>
      </c>
      <c r="L362" s="22">
        <v>3704.0</v>
      </c>
      <c r="M362" s="23">
        <v>0.48</v>
      </c>
      <c r="N362" s="24" t="s">
        <v>211</v>
      </c>
      <c r="O362" s="26" t="s">
        <v>71</v>
      </c>
      <c r="P362" s="26" t="s">
        <v>77</v>
      </c>
      <c r="Q362" s="27">
        <f t="shared" ref="Q362:Q363" si="136">L362/J362</f>
        <v>1.877344146</v>
      </c>
      <c r="R362" s="23">
        <f t="shared" ref="R362:R363" si="137">0+((ABS(0.5-M362)*1))</f>
        <v>0.02</v>
      </c>
      <c r="S362" s="27">
        <f t="shared" ref="S362:S363" si="138">Q362*(R362+1)</f>
        <v>1.914891029</v>
      </c>
      <c r="T362" s="6" t="s">
        <v>40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6.5" customHeight="1">
      <c r="A363" s="7" t="b">
        <v>0</v>
      </c>
      <c r="B363" s="37" t="s">
        <v>180</v>
      </c>
      <c r="C363" s="37" t="s">
        <v>806</v>
      </c>
      <c r="D363" s="37" t="s">
        <v>814</v>
      </c>
      <c r="E363" s="37" t="s">
        <v>394</v>
      </c>
      <c r="F363" s="50" t="s">
        <v>488</v>
      </c>
      <c r="G363" s="37" t="s">
        <v>134</v>
      </c>
      <c r="H363" s="38">
        <v>500000.0</v>
      </c>
      <c r="I363" s="53" t="s">
        <v>430</v>
      </c>
      <c r="J363" s="39">
        <v>2198.0</v>
      </c>
      <c r="K363" s="39">
        <v>1253.0</v>
      </c>
      <c r="L363" s="39">
        <v>3527.0</v>
      </c>
      <c r="M363" s="40">
        <v>0.45</v>
      </c>
      <c r="N363" s="41" t="s">
        <v>211</v>
      </c>
      <c r="O363" s="42" t="s">
        <v>29</v>
      </c>
      <c r="P363" s="43" t="s">
        <v>77</v>
      </c>
      <c r="Q363" s="44">
        <f t="shared" si="136"/>
        <v>1.604640582</v>
      </c>
      <c r="R363" s="45">
        <f t="shared" si="137"/>
        <v>0.05</v>
      </c>
      <c r="S363" s="44">
        <f t="shared" si="138"/>
        <v>1.684872611</v>
      </c>
      <c r="T363" s="37" t="s">
        <v>88</v>
      </c>
      <c r="U363" s="37" t="s">
        <v>431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6.5" customHeight="1">
      <c r="A364" s="7" t="b">
        <v>0</v>
      </c>
      <c r="B364" s="5" t="s">
        <v>196</v>
      </c>
      <c r="C364" s="5" t="s">
        <v>806</v>
      </c>
      <c r="D364" s="5" t="s">
        <v>815</v>
      </c>
      <c r="E364" s="5" t="s">
        <v>231</v>
      </c>
      <c r="F364" s="32" t="s">
        <v>816</v>
      </c>
      <c r="G364" s="5" t="s">
        <v>134</v>
      </c>
      <c r="H364" s="9">
        <v>250000.0</v>
      </c>
      <c r="I364" s="34" t="s">
        <v>62</v>
      </c>
      <c r="J364" s="9"/>
      <c r="K364" s="9"/>
      <c r="L364" s="9"/>
      <c r="M364" s="28"/>
      <c r="N364" s="29"/>
      <c r="O364" s="30"/>
      <c r="P364" s="30"/>
      <c r="Q364" s="16"/>
      <c r="R364" s="18"/>
      <c r="S364" s="16"/>
      <c r="T364" s="5" t="s">
        <v>34</v>
      </c>
      <c r="U364" s="21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6.5" customHeight="1">
      <c r="A365" s="7" t="b">
        <v>0</v>
      </c>
      <c r="B365" s="5" t="s">
        <v>196</v>
      </c>
      <c r="C365" s="5" t="s">
        <v>806</v>
      </c>
      <c r="D365" s="5" t="s">
        <v>817</v>
      </c>
      <c r="E365" s="5" t="s">
        <v>126</v>
      </c>
      <c r="F365" s="49" t="s">
        <v>494</v>
      </c>
      <c r="G365" s="5" t="s">
        <v>134</v>
      </c>
      <c r="H365" s="9"/>
      <c r="I365" s="48"/>
      <c r="J365" s="9"/>
      <c r="K365" s="9"/>
      <c r="L365" s="9"/>
      <c r="M365" s="28"/>
      <c r="N365" s="29"/>
      <c r="O365" s="30"/>
      <c r="P365" s="30"/>
      <c r="Q365" s="16"/>
      <c r="R365" s="18"/>
      <c r="S365" s="16"/>
      <c r="T365" s="5" t="s">
        <v>103</v>
      </c>
      <c r="U365" s="21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6.5" customHeight="1">
      <c r="A366" s="7" t="b">
        <v>0</v>
      </c>
      <c r="B366" s="6" t="s">
        <v>292</v>
      </c>
      <c r="C366" s="6" t="s">
        <v>818</v>
      </c>
      <c r="D366" s="6" t="s">
        <v>819</v>
      </c>
      <c r="E366" s="6" t="s">
        <v>92</v>
      </c>
      <c r="F366" s="50" t="s">
        <v>820</v>
      </c>
      <c r="G366" s="6" t="s">
        <v>52</v>
      </c>
      <c r="H366" s="19">
        <v>240000.0</v>
      </c>
      <c r="I366" s="10" t="s">
        <v>27</v>
      </c>
      <c r="J366" s="22">
        <v>1247.0</v>
      </c>
      <c r="K366" s="22">
        <v>1411.0</v>
      </c>
      <c r="L366" s="22">
        <v>5298.0</v>
      </c>
      <c r="M366" s="23">
        <v>0.5</v>
      </c>
      <c r="N366" s="24" t="s">
        <v>211</v>
      </c>
      <c r="O366" s="26" t="s">
        <v>71</v>
      </c>
      <c r="P366" s="26" t="s">
        <v>30</v>
      </c>
      <c r="Q366" s="27">
        <f t="shared" ref="Q366:Q367" si="139">L366/J366</f>
        <v>4.248596632</v>
      </c>
      <c r="R366" s="23">
        <f t="shared" ref="R366:R367" si="140">0+((ABS(0.5-M366)*1))</f>
        <v>0</v>
      </c>
      <c r="S366" s="27">
        <f t="shared" ref="S366:S367" si="141">Q366*(R366+1)</f>
        <v>4.248596632</v>
      </c>
      <c r="T366" s="6" t="s">
        <v>40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6.5" customHeight="1">
      <c r="A367" s="7" t="b">
        <v>0</v>
      </c>
      <c r="B367" s="6" t="s">
        <v>266</v>
      </c>
      <c r="C367" s="6" t="s">
        <v>821</v>
      </c>
      <c r="D367" s="6" t="s">
        <v>822</v>
      </c>
      <c r="E367" s="6" t="s">
        <v>148</v>
      </c>
      <c r="F367" s="25" t="s">
        <v>823</v>
      </c>
      <c r="G367" s="6" t="s">
        <v>26</v>
      </c>
      <c r="H367" s="19">
        <v>102000.0</v>
      </c>
      <c r="I367" s="10" t="s">
        <v>27</v>
      </c>
      <c r="J367" s="22">
        <v>326.0</v>
      </c>
      <c r="K367" s="22">
        <v>273.0</v>
      </c>
      <c r="L367" s="22">
        <v>3009.0</v>
      </c>
      <c r="M367" s="23">
        <v>0.54</v>
      </c>
      <c r="N367" s="24">
        <v>2.0</v>
      </c>
      <c r="O367" s="26" t="s">
        <v>29</v>
      </c>
      <c r="P367" s="26" t="s">
        <v>30</v>
      </c>
      <c r="Q367" s="27">
        <f t="shared" si="139"/>
        <v>9.23006135</v>
      </c>
      <c r="R367" s="23">
        <f t="shared" si="140"/>
        <v>0.04</v>
      </c>
      <c r="S367" s="27">
        <f t="shared" si="141"/>
        <v>9.599263804</v>
      </c>
      <c r="T367" s="6" t="s">
        <v>122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6.5" customHeight="1">
      <c r="A368" s="7" t="b">
        <v>0</v>
      </c>
      <c r="B368" s="5" t="s">
        <v>648</v>
      </c>
      <c r="C368" s="5" t="s">
        <v>821</v>
      </c>
      <c r="D368" s="5" t="s">
        <v>824</v>
      </c>
      <c r="E368" s="5" t="s">
        <v>253</v>
      </c>
      <c r="F368" s="32" t="s">
        <v>825</v>
      </c>
      <c r="G368" s="5" t="s">
        <v>26</v>
      </c>
      <c r="H368" s="9">
        <v>3750000.0</v>
      </c>
      <c r="I368" s="34" t="s">
        <v>62</v>
      </c>
      <c r="J368" s="9"/>
      <c r="K368" s="9"/>
      <c r="L368" s="9"/>
      <c r="M368" s="28"/>
      <c r="N368" s="29"/>
      <c r="O368" s="30"/>
      <c r="P368" s="30"/>
      <c r="Q368" s="16"/>
      <c r="R368" s="18"/>
      <c r="S368" s="16"/>
      <c r="T368" s="5" t="s">
        <v>34</v>
      </c>
      <c r="U368" s="21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6.5" customHeight="1">
      <c r="A369" s="7" t="b">
        <v>0</v>
      </c>
      <c r="B369" s="6" t="s">
        <v>270</v>
      </c>
      <c r="C369" s="6" t="s">
        <v>821</v>
      </c>
      <c r="D369" s="6" t="s">
        <v>826</v>
      </c>
      <c r="E369" s="6" t="s">
        <v>126</v>
      </c>
      <c r="F369" s="49" t="s">
        <v>827</v>
      </c>
      <c r="G369" s="6" t="s">
        <v>26</v>
      </c>
      <c r="H369" s="19">
        <v>3100000.0</v>
      </c>
      <c r="I369" s="35" t="s">
        <v>76</v>
      </c>
      <c r="J369" s="22">
        <v>756.0</v>
      </c>
      <c r="K369" s="22">
        <v>523.0</v>
      </c>
      <c r="L369" s="22">
        <v>2646.0</v>
      </c>
      <c r="M369" s="23">
        <v>0.41</v>
      </c>
      <c r="N369" s="24">
        <v>6.0</v>
      </c>
      <c r="O369" s="26" t="s">
        <v>29</v>
      </c>
      <c r="P369" s="26" t="s">
        <v>77</v>
      </c>
      <c r="Q369" s="27">
        <f t="shared" ref="Q369:Q371" si="142">L369/J369</f>
        <v>3.5</v>
      </c>
      <c r="R369" s="23">
        <f t="shared" ref="R369:R371" si="143">0+((ABS(0.5-M369)*1))</f>
        <v>0.09</v>
      </c>
      <c r="S369" s="27">
        <f t="shared" ref="S369:S371" si="144">Q369*(R369+1)</f>
        <v>3.815</v>
      </c>
      <c r="T369" s="6" t="s">
        <v>40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6.5" customHeight="1">
      <c r="A370" s="7" t="b">
        <v>0</v>
      </c>
      <c r="B370" s="6" t="s">
        <v>58</v>
      </c>
      <c r="C370" s="6" t="s">
        <v>821</v>
      </c>
      <c r="D370" s="6" t="s">
        <v>828</v>
      </c>
      <c r="E370" s="6" t="s">
        <v>60</v>
      </c>
      <c r="F370" s="32" t="s">
        <v>747</v>
      </c>
      <c r="G370" s="6" t="s">
        <v>26</v>
      </c>
      <c r="H370" s="19">
        <v>220000.0</v>
      </c>
      <c r="I370" s="34" t="s">
        <v>62</v>
      </c>
      <c r="J370" s="22">
        <v>621.0</v>
      </c>
      <c r="K370" s="22">
        <v>538.0</v>
      </c>
      <c r="L370" s="22">
        <v>3757.0</v>
      </c>
      <c r="M370" s="23">
        <v>0.41</v>
      </c>
      <c r="N370" s="24">
        <v>2.99</v>
      </c>
      <c r="O370" s="26" t="s">
        <v>29</v>
      </c>
      <c r="P370" s="26" t="s">
        <v>77</v>
      </c>
      <c r="Q370" s="27">
        <f t="shared" si="142"/>
        <v>6.049919485</v>
      </c>
      <c r="R370" s="23">
        <f t="shared" si="143"/>
        <v>0.09</v>
      </c>
      <c r="S370" s="27">
        <f t="shared" si="144"/>
        <v>6.594412238</v>
      </c>
      <c r="T370" s="6" t="s">
        <v>40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6.5" customHeight="1">
      <c r="A371" s="7" t="b">
        <v>0</v>
      </c>
      <c r="B371" s="37" t="s">
        <v>658</v>
      </c>
      <c r="C371" s="37" t="s">
        <v>829</v>
      </c>
      <c r="D371" s="37" t="s">
        <v>830</v>
      </c>
      <c r="E371" s="37" t="s">
        <v>394</v>
      </c>
      <c r="F371" s="32" t="s">
        <v>450</v>
      </c>
      <c r="G371" s="37" t="s">
        <v>228</v>
      </c>
      <c r="H371" s="38">
        <v>100000.0</v>
      </c>
      <c r="I371" s="35" t="s">
        <v>76</v>
      </c>
      <c r="J371" s="46">
        <v>706.0</v>
      </c>
      <c r="K371" s="46">
        <v>448.0</v>
      </c>
      <c r="L371" s="46">
        <v>2450.0</v>
      </c>
      <c r="M371" s="45">
        <v>0.53</v>
      </c>
      <c r="N371" s="47">
        <v>2.62</v>
      </c>
      <c r="O371" s="43" t="s">
        <v>29</v>
      </c>
      <c r="P371" s="43" t="s">
        <v>30</v>
      </c>
      <c r="Q371" s="44">
        <f t="shared" si="142"/>
        <v>3.470254958</v>
      </c>
      <c r="R371" s="45">
        <f t="shared" si="143"/>
        <v>0.03</v>
      </c>
      <c r="S371" s="44">
        <f t="shared" si="144"/>
        <v>3.574362606</v>
      </c>
      <c r="T371" s="37" t="s">
        <v>88</v>
      </c>
      <c r="U371" s="37" t="s">
        <v>89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6.5" customHeight="1">
      <c r="A372" s="7" t="b">
        <v>0</v>
      </c>
      <c r="B372" s="5" t="s">
        <v>618</v>
      </c>
      <c r="C372" s="5" t="s">
        <v>829</v>
      </c>
      <c r="D372" s="5" t="s">
        <v>831</v>
      </c>
      <c r="E372" s="5" t="s">
        <v>106</v>
      </c>
      <c r="F372" s="49" t="s">
        <v>832</v>
      </c>
      <c r="G372" s="5" t="s">
        <v>228</v>
      </c>
      <c r="H372" s="9"/>
      <c r="I372" s="48"/>
      <c r="J372" s="9"/>
      <c r="K372" s="9"/>
      <c r="L372" s="9"/>
      <c r="M372" s="28"/>
      <c r="N372" s="29"/>
      <c r="O372" s="30"/>
      <c r="P372" s="30"/>
      <c r="Q372" s="16"/>
      <c r="R372" s="18"/>
      <c r="S372" s="16"/>
      <c r="T372" s="5" t="s">
        <v>256</v>
      </c>
      <c r="U372" s="21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6.5" customHeight="1">
      <c r="A373" s="7" t="b">
        <v>0</v>
      </c>
      <c r="B373" s="5" t="s">
        <v>372</v>
      </c>
      <c r="C373" s="5" t="s">
        <v>829</v>
      </c>
      <c r="D373" s="5" t="s">
        <v>833</v>
      </c>
      <c r="E373" s="5" t="s">
        <v>221</v>
      </c>
      <c r="F373" s="17" t="s">
        <v>524</v>
      </c>
      <c r="G373" s="5" t="s">
        <v>228</v>
      </c>
      <c r="H373" s="9"/>
      <c r="I373" s="48"/>
      <c r="J373" s="9"/>
      <c r="K373" s="9"/>
      <c r="L373" s="9"/>
      <c r="M373" s="28"/>
      <c r="N373" s="29"/>
      <c r="O373" s="30"/>
      <c r="P373" s="30"/>
      <c r="Q373" s="16"/>
      <c r="R373" s="18"/>
      <c r="S373" s="16"/>
      <c r="T373" s="5" t="s">
        <v>34</v>
      </c>
      <c r="U373" s="21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6.5" customHeight="1">
      <c r="A374" s="7" t="b">
        <v>0</v>
      </c>
      <c r="B374" s="5" t="s">
        <v>270</v>
      </c>
      <c r="C374" s="5" t="s">
        <v>829</v>
      </c>
      <c r="D374" s="5" t="s">
        <v>834</v>
      </c>
      <c r="E374" s="5" t="s">
        <v>126</v>
      </c>
      <c r="F374" s="49" t="s">
        <v>835</v>
      </c>
      <c r="G374" s="5" t="s">
        <v>228</v>
      </c>
      <c r="H374" s="9">
        <v>353000.0</v>
      </c>
      <c r="I374" s="35" t="s">
        <v>76</v>
      </c>
      <c r="J374" s="9"/>
      <c r="K374" s="9"/>
      <c r="L374" s="9"/>
      <c r="M374" s="28"/>
      <c r="N374" s="29"/>
      <c r="O374" s="30"/>
      <c r="P374" s="30"/>
      <c r="Q374" s="16"/>
      <c r="R374" s="18"/>
      <c r="S374" s="16"/>
      <c r="T374" s="5" t="s">
        <v>34</v>
      </c>
      <c r="U374" s="21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6.5" customHeight="1">
      <c r="A375" s="7" t="b">
        <v>0</v>
      </c>
      <c r="B375" s="6" t="s">
        <v>217</v>
      </c>
      <c r="C375" s="6" t="s">
        <v>829</v>
      </c>
      <c r="D375" s="6" t="s">
        <v>836</v>
      </c>
      <c r="E375" s="6" t="s">
        <v>24</v>
      </c>
      <c r="F375" s="25" t="s">
        <v>534</v>
      </c>
      <c r="G375" s="6" t="s">
        <v>228</v>
      </c>
      <c r="H375" s="19">
        <v>25000.0</v>
      </c>
      <c r="I375" s="20" t="s">
        <v>33</v>
      </c>
      <c r="J375" s="22">
        <v>263.0</v>
      </c>
      <c r="K375" s="22">
        <v>280.0</v>
      </c>
      <c r="L375" s="22">
        <v>3221.0</v>
      </c>
      <c r="M375" s="23">
        <v>0.62</v>
      </c>
      <c r="N375" s="24">
        <v>2.26</v>
      </c>
      <c r="O375" s="26" t="s">
        <v>30</v>
      </c>
      <c r="P375" s="26" t="s">
        <v>30</v>
      </c>
      <c r="Q375" s="27">
        <f t="shared" ref="Q375:Q380" si="145">L375/J375</f>
        <v>12.24714829</v>
      </c>
      <c r="R375" s="23">
        <f t="shared" ref="R375:R380" si="146">0+((ABS(0.5-M375)*1))</f>
        <v>0.12</v>
      </c>
      <c r="S375" s="27">
        <f t="shared" ref="S375:S380" si="147">Q375*(R375+1)</f>
        <v>13.71680608</v>
      </c>
      <c r="T375" s="6" t="s">
        <v>40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6.5" customHeight="1">
      <c r="A376" s="7" t="b">
        <v>0</v>
      </c>
      <c r="B376" s="6" t="s">
        <v>268</v>
      </c>
      <c r="C376" s="6" t="s">
        <v>829</v>
      </c>
      <c r="D376" s="6" t="s">
        <v>837</v>
      </c>
      <c r="E376" s="6" t="s">
        <v>24</v>
      </c>
      <c r="F376" s="8" t="s">
        <v>838</v>
      </c>
      <c r="G376" s="6" t="s">
        <v>228</v>
      </c>
      <c r="H376" s="19">
        <v>21000.0</v>
      </c>
      <c r="I376" s="20" t="s">
        <v>33</v>
      </c>
      <c r="J376" s="22">
        <v>178.0</v>
      </c>
      <c r="K376" s="22">
        <v>166.0</v>
      </c>
      <c r="L376" s="22">
        <v>2529.0</v>
      </c>
      <c r="M376" s="23">
        <v>0.52</v>
      </c>
      <c r="N376" s="24">
        <v>1.84</v>
      </c>
      <c r="O376" s="26" t="s">
        <v>29</v>
      </c>
      <c r="P376" s="26" t="s">
        <v>30</v>
      </c>
      <c r="Q376" s="27">
        <f t="shared" si="145"/>
        <v>14.20786517</v>
      </c>
      <c r="R376" s="23">
        <f t="shared" si="146"/>
        <v>0.02</v>
      </c>
      <c r="S376" s="27">
        <f t="shared" si="147"/>
        <v>14.49202247</v>
      </c>
      <c r="T376" s="6" t="s">
        <v>40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6.5" customHeight="1">
      <c r="A377" s="7" t="b">
        <v>0</v>
      </c>
      <c r="B377" s="6" t="s">
        <v>130</v>
      </c>
      <c r="C377" s="6" t="s">
        <v>829</v>
      </c>
      <c r="D377" s="6" t="s">
        <v>839</v>
      </c>
      <c r="E377" s="6" t="s">
        <v>231</v>
      </c>
      <c r="F377" s="8" t="s">
        <v>566</v>
      </c>
      <c r="G377" s="6" t="s">
        <v>228</v>
      </c>
      <c r="H377" s="19">
        <v>28000.0</v>
      </c>
      <c r="I377" s="20" t="s">
        <v>33</v>
      </c>
      <c r="J377" s="22">
        <v>167.0</v>
      </c>
      <c r="K377" s="22">
        <v>140.0</v>
      </c>
      <c r="L377" s="22">
        <v>2593.0</v>
      </c>
      <c r="M377" s="23">
        <v>0.51</v>
      </c>
      <c r="N377" s="24">
        <v>2.0</v>
      </c>
      <c r="O377" s="26" t="s">
        <v>29</v>
      </c>
      <c r="P377" s="26" t="s">
        <v>30</v>
      </c>
      <c r="Q377" s="27">
        <f t="shared" si="145"/>
        <v>15.52694611</v>
      </c>
      <c r="R377" s="23">
        <f t="shared" si="146"/>
        <v>0.01</v>
      </c>
      <c r="S377" s="27">
        <f t="shared" si="147"/>
        <v>15.68221557</v>
      </c>
      <c r="T377" s="6" t="s">
        <v>40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6.5" customHeight="1">
      <c r="A378" s="7" t="b">
        <v>0</v>
      </c>
      <c r="B378" s="6" t="s">
        <v>41</v>
      </c>
      <c r="C378" s="6" t="s">
        <v>829</v>
      </c>
      <c r="D378" s="6" t="s">
        <v>839</v>
      </c>
      <c r="E378" s="6" t="s">
        <v>148</v>
      </c>
      <c r="F378" s="8" t="s">
        <v>840</v>
      </c>
      <c r="G378" s="6" t="s">
        <v>228</v>
      </c>
      <c r="H378" s="19">
        <v>18000.0</v>
      </c>
      <c r="I378" s="34" t="s">
        <v>62</v>
      </c>
      <c r="J378" s="22">
        <v>155.0</v>
      </c>
      <c r="K378" s="22">
        <v>148.0</v>
      </c>
      <c r="L378" s="22">
        <v>2310.0</v>
      </c>
      <c r="M378" s="23">
        <v>0.5</v>
      </c>
      <c r="N378" s="24">
        <v>2.0</v>
      </c>
      <c r="O378" s="26" t="s">
        <v>29</v>
      </c>
      <c r="P378" s="26" t="s">
        <v>30</v>
      </c>
      <c r="Q378" s="27">
        <f t="shared" si="145"/>
        <v>14.90322581</v>
      </c>
      <c r="R378" s="23">
        <f t="shared" si="146"/>
        <v>0</v>
      </c>
      <c r="S378" s="27">
        <f t="shared" si="147"/>
        <v>14.90322581</v>
      </c>
      <c r="T378" s="6" t="s">
        <v>72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6.5" customHeight="1">
      <c r="A379" s="7" t="b">
        <v>0</v>
      </c>
      <c r="B379" s="6" t="s">
        <v>21</v>
      </c>
      <c r="C379" s="6" t="s">
        <v>829</v>
      </c>
      <c r="D379" s="6" t="s">
        <v>841</v>
      </c>
      <c r="E379" s="6" t="s">
        <v>148</v>
      </c>
      <c r="F379" s="25" t="s">
        <v>842</v>
      </c>
      <c r="G379" s="6" t="s">
        <v>228</v>
      </c>
      <c r="H379" s="19">
        <v>60000.0</v>
      </c>
      <c r="I379" s="34" t="s">
        <v>62</v>
      </c>
      <c r="J379" s="22">
        <v>181.0</v>
      </c>
      <c r="K379" s="22">
        <v>151.0</v>
      </c>
      <c r="L379" s="22">
        <v>2374.0</v>
      </c>
      <c r="M379" s="23">
        <v>0.5</v>
      </c>
      <c r="N379" s="24">
        <v>2.0</v>
      </c>
      <c r="O379" s="26" t="s">
        <v>29</v>
      </c>
      <c r="P379" s="26" t="s">
        <v>30</v>
      </c>
      <c r="Q379" s="27">
        <f t="shared" si="145"/>
        <v>13.1160221</v>
      </c>
      <c r="R379" s="23">
        <f t="shared" si="146"/>
        <v>0</v>
      </c>
      <c r="S379" s="27">
        <f t="shared" si="147"/>
        <v>13.1160221</v>
      </c>
      <c r="T379" s="6" t="s">
        <v>122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6.5" customHeight="1">
      <c r="A380" s="7" t="b">
        <v>0</v>
      </c>
      <c r="B380" s="6" t="s">
        <v>473</v>
      </c>
      <c r="C380" s="6" t="s">
        <v>829</v>
      </c>
      <c r="D380" s="6" t="s">
        <v>843</v>
      </c>
      <c r="E380" s="6" t="s">
        <v>24</v>
      </c>
      <c r="F380" s="17" t="s">
        <v>844</v>
      </c>
      <c r="G380" s="6" t="s">
        <v>228</v>
      </c>
      <c r="H380" s="19">
        <v>15000.0</v>
      </c>
      <c r="I380" s="20" t="s">
        <v>33</v>
      </c>
      <c r="J380" s="22">
        <v>128.0</v>
      </c>
      <c r="K380" s="22">
        <v>110.0</v>
      </c>
      <c r="L380" s="22">
        <v>2330.0</v>
      </c>
      <c r="M380" s="23">
        <v>0.51</v>
      </c>
      <c r="N380" s="24">
        <v>1.84</v>
      </c>
      <c r="O380" s="26" t="s">
        <v>29</v>
      </c>
      <c r="P380" s="26" t="s">
        <v>30</v>
      </c>
      <c r="Q380" s="27">
        <f t="shared" si="145"/>
        <v>18.203125</v>
      </c>
      <c r="R380" s="23">
        <f t="shared" si="146"/>
        <v>0.01</v>
      </c>
      <c r="S380" s="27">
        <f t="shared" si="147"/>
        <v>18.38515625</v>
      </c>
      <c r="T380" s="6" t="s">
        <v>40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6.5" customHeight="1">
      <c r="A381" s="7" t="b">
        <v>0</v>
      </c>
      <c r="B381" s="5" t="s">
        <v>473</v>
      </c>
      <c r="C381" s="5" t="s">
        <v>829</v>
      </c>
      <c r="D381" s="5" t="s">
        <v>845</v>
      </c>
      <c r="E381" s="5" t="s">
        <v>221</v>
      </c>
      <c r="F381" s="50" t="s">
        <v>541</v>
      </c>
      <c r="G381" s="5" t="s">
        <v>228</v>
      </c>
      <c r="H381" s="9"/>
      <c r="I381" s="48"/>
      <c r="J381" s="9"/>
      <c r="K381" s="9"/>
      <c r="L381" s="9"/>
      <c r="M381" s="28"/>
      <c r="N381" s="29"/>
      <c r="O381" s="30"/>
      <c r="P381" s="30"/>
      <c r="Q381" s="27"/>
      <c r="R381" s="23"/>
      <c r="S381" s="27"/>
      <c r="T381" s="5" t="s">
        <v>846</v>
      </c>
      <c r="U381" s="21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6.5" customHeight="1">
      <c r="A382" s="7" t="b">
        <v>0</v>
      </c>
      <c r="B382" s="6" t="s">
        <v>58</v>
      </c>
      <c r="C382" s="6" t="s">
        <v>829</v>
      </c>
      <c r="D382" s="6" t="s">
        <v>847</v>
      </c>
      <c r="E382" s="6" t="s">
        <v>221</v>
      </c>
      <c r="F382" s="25" t="s">
        <v>848</v>
      </c>
      <c r="G382" s="6" t="s">
        <v>228</v>
      </c>
      <c r="H382" s="19">
        <v>29000.0</v>
      </c>
      <c r="I382" s="34" t="s">
        <v>62</v>
      </c>
      <c r="J382" s="22">
        <v>181.0</v>
      </c>
      <c r="K382" s="22">
        <v>151.0</v>
      </c>
      <c r="L382" s="22">
        <v>2452.0</v>
      </c>
      <c r="M382" s="23">
        <v>0.51</v>
      </c>
      <c r="N382" s="24">
        <v>2.0</v>
      </c>
      <c r="O382" s="26" t="s">
        <v>29</v>
      </c>
      <c r="P382" s="26" t="s">
        <v>30</v>
      </c>
      <c r="Q382" s="27">
        <f t="shared" ref="Q382:Q383" si="148">L382/J382</f>
        <v>13.54696133</v>
      </c>
      <c r="R382" s="23">
        <f t="shared" ref="R382:R383" si="149">0+((ABS(0.5-M382)*1))</f>
        <v>0.01</v>
      </c>
      <c r="S382" s="27">
        <f t="shared" ref="S382:S383" si="150">Q382*(R382+1)</f>
        <v>13.68243094</v>
      </c>
      <c r="T382" s="6" t="s">
        <v>40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6.5" customHeight="1">
      <c r="A383" s="7" t="b">
        <v>0</v>
      </c>
      <c r="B383" s="6" t="s">
        <v>238</v>
      </c>
      <c r="C383" s="6" t="s">
        <v>829</v>
      </c>
      <c r="D383" s="6" t="s">
        <v>849</v>
      </c>
      <c r="E383" s="6" t="s">
        <v>148</v>
      </c>
      <c r="F383" s="17" t="s">
        <v>850</v>
      </c>
      <c r="G383" s="6" t="s">
        <v>228</v>
      </c>
      <c r="H383" s="19">
        <v>73000.0</v>
      </c>
      <c r="I383" s="20" t="s">
        <v>33</v>
      </c>
      <c r="J383" s="22">
        <v>110.0</v>
      </c>
      <c r="K383" s="22">
        <v>100.0</v>
      </c>
      <c r="L383" s="22">
        <v>2060.0</v>
      </c>
      <c r="M383" s="23">
        <v>0.57</v>
      </c>
      <c r="N383" s="24">
        <v>1.15</v>
      </c>
      <c r="O383" s="26" t="s">
        <v>29</v>
      </c>
      <c r="P383" s="26" t="s">
        <v>30</v>
      </c>
      <c r="Q383" s="27">
        <f t="shared" si="148"/>
        <v>18.72727273</v>
      </c>
      <c r="R383" s="23">
        <f t="shared" si="149"/>
        <v>0.07</v>
      </c>
      <c r="S383" s="27">
        <f t="shared" si="150"/>
        <v>20.03818182</v>
      </c>
      <c r="T383" s="6" t="s">
        <v>40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6.5" customHeight="1">
      <c r="A384" s="7" t="b">
        <v>0</v>
      </c>
      <c r="B384" s="5" t="s">
        <v>238</v>
      </c>
      <c r="C384" s="5" t="s">
        <v>829</v>
      </c>
      <c r="D384" s="5" t="s">
        <v>851</v>
      </c>
      <c r="E384" s="5" t="s">
        <v>148</v>
      </c>
      <c r="F384" s="25" t="s">
        <v>536</v>
      </c>
      <c r="G384" s="5" t="s">
        <v>228</v>
      </c>
      <c r="H384" s="9"/>
      <c r="I384" s="48"/>
      <c r="J384" s="9"/>
      <c r="K384" s="9"/>
      <c r="L384" s="9"/>
      <c r="M384" s="28"/>
      <c r="N384" s="29"/>
      <c r="O384" s="30"/>
      <c r="P384" s="30"/>
      <c r="Q384" s="27"/>
      <c r="R384" s="23"/>
      <c r="S384" s="27"/>
      <c r="T384" s="5" t="s">
        <v>846</v>
      </c>
      <c r="U384" s="21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6.5" customHeight="1">
      <c r="A385" s="7" t="b">
        <v>0</v>
      </c>
      <c r="B385" s="5" t="s">
        <v>573</v>
      </c>
      <c r="C385" s="5" t="s">
        <v>829</v>
      </c>
      <c r="D385" s="5" t="s">
        <v>852</v>
      </c>
      <c r="E385" s="5" t="s">
        <v>24</v>
      </c>
      <c r="F385" s="17" t="s">
        <v>405</v>
      </c>
      <c r="G385" s="5" t="s">
        <v>228</v>
      </c>
      <c r="H385" s="9">
        <v>30000.0</v>
      </c>
      <c r="I385" s="35" t="s">
        <v>255</v>
      </c>
      <c r="J385" s="9"/>
      <c r="K385" s="9"/>
      <c r="L385" s="9"/>
      <c r="M385" s="28"/>
      <c r="N385" s="29"/>
      <c r="O385" s="30"/>
      <c r="P385" s="30"/>
      <c r="Q385" s="16"/>
      <c r="R385" s="18"/>
      <c r="S385" s="16"/>
      <c r="T385" s="5" t="s">
        <v>256</v>
      </c>
      <c r="U385" s="21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6.5" customHeight="1">
      <c r="A386" s="7" t="b">
        <v>0</v>
      </c>
      <c r="B386" s="6" t="s">
        <v>66</v>
      </c>
      <c r="C386" s="6" t="s">
        <v>829</v>
      </c>
      <c r="D386" s="6" t="s">
        <v>853</v>
      </c>
      <c r="E386" s="6" t="s">
        <v>148</v>
      </c>
      <c r="F386" s="25" t="s">
        <v>397</v>
      </c>
      <c r="G386" s="6" t="s">
        <v>228</v>
      </c>
      <c r="H386" s="19">
        <v>40000.0</v>
      </c>
      <c r="I386" s="10" t="s">
        <v>27</v>
      </c>
      <c r="J386" s="22">
        <v>252.0</v>
      </c>
      <c r="K386" s="22">
        <v>217.0</v>
      </c>
      <c r="L386" s="22">
        <v>2778.0</v>
      </c>
      <c r="M386" s="23">
        <v>0.5</v>
      </c>
      <c r="N386" s="24">
        <v>1.31</v>
      </c>
      <c r="O386" s="26" t="s">
        <v>29</v>
      </c>
      <c r="P386" s="26" t="s">
        <v>30</v>
      </c>
      <c r="Q386" s="27">
        <f t="shared" ref="Q386:Q391" si="151">L386/J386</f>
        <v>11.02380952</v>
      </c>
      <c r="R386" s="23">
        <f t="shared" ref="R386:R391" si="152">0+((ABS(0.5-M386)*1))</f>
        <v>0</v>
      </c>
      <c r="S386" s="27">
        <f t="shared" ref="S386:S391" si="153">Q386*(R386+1)</f>
        <v>11.02380952</v>
      </c>
      <c r="T386" s="6" t="s">
        <v>122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6.5" customHeight="1">
      <c r="A387" s="7" t="b">
        <v>0</v>
      </c>
      <c r="B387" s="6" t="s">
        <v>187</v>
      </c>
      <c r="C387" s="6" t="s">
        <v>829</v>
      </c>
      <c r="D387" s="6" t="s">
        <v>854</v>
      </c>
      <c r="E387" s="6" t="s">
        <v>43</v>
      </c>
      <c r="F387" s="25" t="s">
        <v>855</v>
      </c>
      <c r="G387" s="6" t="s">
        <v>228</v>
      </c>
      <c r="H387" s="19">
        <v>33000.0</v>
      </c>
      <c r="I387" s="10" t="s">
        <v>27</v>
      </c>
      <c r="J387" s="22">
        <v>232.0</v>
      </c>
      <c r="K387" s="22">
        <v>159.0</v>
      </c>
      <c r="L387" s="22">
        <v>3065.0</v>
      </c>
      <c r="M387" s="23">
        <v>0.52</v>
      </c>
      <c r="N387" s="24">
        <v>1.31</v>
      </c>
      <c r="O387" s="26" t="s">
        <v>29</v>
      </c>
      <c r="P387" s="26" t="s">
        <v>30</v>
      </c>
      <c r="Q387" s="27">
        <f t="shared" si="151"/>
        <v>13.2112069</v>
      </c>
      <c r="R387" s="23">
        <f t="shared" si="152"/>
        <v>0.02</v>
      </c>
      <c r="S387" s="27">
        <f t="shared" si="153"/>
        <v>13.47543103</v>
      </c>
      <c r="T387" s="6" t="s">
        <v>40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6.5" customHeight="1">
      <c r="A388" s="7" t="b">
        <v>0</v>
      </c>
      <c r="B388" s="6" t="s">
        <v>104</v>
      </c>
      <c r="C388" s="6" t="s">
        <v>829</v>
      </c>
      <c r="D388" s="6" t="s">
        <v>856</v>
      </c>
      <c r="E388" s="6" t="s">
        <v>148</v>
      </c>
      <c r="F388" s="8" t="s">
        <v>857</v>
      </c>
      <c r="G388" s="6" t="s">
        <v>228</v>
      </c>
      <c r="H388" s="19">
        <v>23000.0</v>
      </c>
      <c r="I388" s="34" t="s">
        <v>62</v>
      </c>
      <c r="J388" s="22">
        <v>200.0</v>
      </c>
      <c r="K388" s="22">
        <v>196.0</v>
      </c>
      <c r="L388" s="22">
        <v>2981.0</v>
      </c>
      <c r="M388" s="23">
        <v>0.51</v>
      </c>
      <c r="N388" s="24">
        <v>1.31</v>
      </c>
      <c r="O388" s="26" t="s">
        <v>29</v>
      </c>
      <c r="P388" s="26" t="s">
        <v>30</v>
      </c>
      <c r="Q388" s="27">
        <f t="shared" si="151"/>
        <v>14.905</v>
      </c>
      <c r="R388" s="23">
        <f t="shared" si="152"/>
        <v>0.01</v>
      </c>
      <c r="S388" s="27">
        <f t="shared" si="153"/>
        <v>15.05405</v>
      </c>
      <c r="T388" s="6" t="s">
        <v>40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6.5" customHeight="1">
      <c r="A389" s="7" t="b">
        <v>0</v>
      </c>
      <c r="B389" s="6" t="s">
        <v>187</v>
      </c>
      <c r="C389" s="6" t="s">
        <v>858</v>
      </c>
      <c r="D389" s="6" t="s">
        <v>859</v>
      </c>
      <c r="E389" s="6" t="s">
        <v>60</v>
      </c>
      <c r="F389" s="32" t="s">
        <v>340</v>
      </c>
      <c r="G389" s="6" t="s">
        <v>134</v>
      </c>
      <c r="H389" s="19">
        <v>105000.0</v>
      </c>
      <c r="I389" s="34" t="s">
        <v>62</v>
      </c>
      <c r="J389" s="22">
        <v>592.0</v>
      </c>
      <c r="K389" s="22">
        <v>442.0</v>
      </c>
      <c r="L389" s="22">
        <v>3161.0</v>
      </c>
      <c r="M389" s="23">
        <v>0.42</v>
      </c>
      <c r="N389" s="24">
        <v>3.8</v>
      </c>
      <c r="O389" s="26" t="s">
        <v>29</v>
      </c>
      <c r="P389" s="26" t="s">
        <v>77</v>
      </c>
      <c r="Q389" s="27">
        <f t="shared" si="151"/>
        <v>5.339527027</v>
      </c>
      <c r="R389" s="23">
        <f t="shared" si="152"/>
        <v>0.08</v>
      </c>
      <c r="S389" s="27">
        <f t="shared" si="153"/>
        <v>5.766689189</v>
      </c>
      <c r="T389" s="6" t="s">
        <v>40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6.5" customHeight="1">
      <c r="A390" s="7" t="b">
        <v>0</v>
      </c>
      <c r="B390" s="6" t="s">
        <v>116</v>
      </c>
      <c r="C390" s="6" t="s">
        <v>858</v>
      </c>
      <c r="D390" s="6" t="s">
        <v>860</v>
      </c>
      <c r="E390" s="6" t="s">
        <v>60</v>
      </c>
      <c r="F390" s="32" t="s">
        <v>452</v>
      </c>
      <c r="G390" s="6" t="s">
        <v>134</v>
      </c>
      <c r="H390" s="19">
        <v>130000.0</v>
      </c>
      <c r="I390" s="34" t="s">
        <v>62</v>
      </c>
      <c r="J390" s="22">
        <v>562.0</v>
      </c>
      <c r="K390" s="22">
        <v>442.0</v>
      </c>
      <c r="L390" s="22">
        <v>3201.0</v>
      </c>
      <c r="M390" s="23">
        <v>0.42</v>
      </c>
      <c r="N390" s="24">
        <v>3.8</v>
      </c>
      <c r="O390" s="26" t="s">
        <v>29</v>
      </c>
      <c r="P390" s="26" t="s">
        <v>77</v>
      </c>
      <c r="Q390" s="27">
        <f t="shared" si="151"/>
        <v>5.695729537</v>
      </c>
      <c r="R390" s="23">
        <f t="shared" si="152"/>
        <v>0.08</v>
      </c>
      <c r="S390" s="27">
        <f t="shared" si="153"/>
        <v>6.1513879</v>
      </c>
      <c r="T390" s="6" t="s">
        <v>40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6.5" customHeight="1">
      <c r="A391" s="7" t="b">
        <v>0</v>
      </c>
      <c r="B391" s="6" t="s">
        <v>196</v>
      </c>
      <c r="C391" s="6" t="s">
        <v>858</v>
      </c>
      <c r="D391" s="6" t="s">
        <v>861</v>
      </c>
      <c r="E391" s="6" t="s">
        <v>231</v>
      </c>
      <c r="F391" s="32" t="s">
        <v>468</v>
      </c>
      <c r="G391" s="6" t="s">
        <v>134</v>
      </c>
      <c r="H391" s="19">
        <v>260000.0</v>
      </c>
      <c r="I391" s="34" t="s">
        <v>62</v>
      </c>
      <c r="J391" s="22">
        <v>591.0</v>
      </c>
      <c r="K391" s="22">
        <v>457.0</v>
      </c>
      <c r="L391" s="22">
        <v>2989.0</v>
      </c>
      <c r="M391" s="23">
        <v>0.43</v>
      </c>
      <c r="N391" s="24">
        <v>3.8</v>
      </c>
      <c r="O391" s="26" t="s">
        <v>29</v>
      </c>
      <c r="P391" s="26" t="s">
        <v>77</v>
      </c>
      <c r="Q391" s="27">
        <f t="shared" si="151"/>
        <v>5.057529611</v>
      </c>
      <c r="R391" s="23">
        <f t="shared" si="152"/>
        <v>0.07</v>
      </c>
      <c r="S391" s="27">
        <f t="shared" si="153"/>
        <v>5.411556684</v>
      </c>
      <c r="T391" s="6" t="s">
        <v>72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6.5" customHeight="1">
      <c r="A392" s="7" t="b">
        <v>0</v>
      </c>
      <c r="B392" s="5" t="s">
        <v>90</v>
      </c>
      <c r="C392" s="5" t="s">
        <v>858</v>
      </c>
      <c r="D392" s="5" t="s">
        <v>862</v>
      </c>
      <c r="E392" s="5" t="s">
        <v>231</v>
      </c>
      <c r="F392" s="32" t="s">
        <v>502</v>
      </c>
      <c r="G392" s="5" t="s">
        <v>134</v>
      </c>
      <c r="H392" s="9"/>
      <c r="I392" s="48"/>
      <c r="J392" s="9"/>
      <c r="K392" s="9"/>
      <c r="L392" s="9"/>
      <c r="M392" s="28"/>
      <c r="N392" s="29"/>
      <c r="O392" s="30"/>
      <c r="P392" s="30"/>
      <c r="Q392" s="16"/>
      <c r="R392" s="18"/>
      <c r="S392" s="16"/>
      <c r="T392" s="5" t="s">
        <v>129</v>
      </c>
      <c r="U392" s="21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6.5" customHeight="1">
      <c r="A393" s="7" t="b">
        <v>0</v>
      </c>
      <c r="B393" s="6" t="s">
        <v>79</v>
      </c>
      <c r="C393" s="6" t="s">
        <v>858</v>
      </c>
      <c r="D393" s="6" t="s">
        <v>863</v>
      </c>
      <c r="E393" s="6" t="s">
        <v>60</v>
      </c>
      <c r="F393" s="32" t="s">
        <v>864</v>
      </c>
      <c r="G393" s="6" t="s">
        <v>134</v>
      </c>
      <c r="H393" s="19">
        <v>130000.0</v>
      </c>
      <c r="I393" s="34" t="s">
        <v>62</v>
      </c>
      <c r="J393" s="22">
        <v>641.0</v>
      </c>
      <c r="K393" s="22">
        <v>500.0</v>
      </c>
      <c r="L393" s="22">
        <v>3236.0</v>
      </c>
      <c r="M393" s="23">
        <v>0.42</v>
      </c>
      <c r="N393" s="24">
        <v>3.8</v>
      </c>
      <c r="O393" s="26" t="s">
        <v>29</v>
      </c>
      <c r="P393" s="26" t="s">
        <v>77</v>
      </c>
      <c r="Q393" s="27">
        <f t="shared" ref="Q393:Q398" si="154">L393/J393</f>
        <v>5.048361934</v>
      </c>
      <c r="R393" s="23">
        <f t="shared" ref="R393:R398" si="155">0+((ABS(0.5-M393)*1))</f>
        <v>0.08</v>
      </c>
      <c r="S393" s="27">
        <f t="shared" ref="S393:S398" si="156">Q393*(R393+1)</f>
        <v>5.452230889</v>
      </c>
      <c r="T393" s="6" t="s">
        <v>40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6.5" customHeight="1">
      <c r="A394" s="7" t="b">
        <v>0</v>
      </c>
      <c r="B394" s="6" t="s">
        <v>90</v>
      </c>
      <c r="C394" s="6" t="s">
        <v>858</v>
      </c>
      <c r="D394" s="6" t="s">
        <v>865</v>
      </c>
      <c r="E394" s="6" t="s">
        <v>231</v>
      </c>
      <c r="F394" s="50" t="s">
        <v>773</v>
      </c>
      <c r="G394" s="6" t="s">
        <v>134</v>
      </c>
      <c r="H394" s="19">
        <v>358000.0</v>
      </c>
      <c r="I394" s="34" t="s">
        <v>62</v>
      </c>
      <c r="J394" s="22">
        <v>755.0</v>
      </c>
      <c r="K394" s="22">
        <v>590.0</v>
      </c>
      <c r="L394" s="22">
        <v>2952.0</v>
      </c>
      <c r="M394" s="23">
        <v>0.41</v>
      </c>
      <c r="N394" s="24">
        <v>3.99</v>
      </c>
      <c r="O394" s="26" t="s">
        <v>29</v>
      </c>
      <c r="P394" s="26" t="s">
        <v>77</v>
      </c>
      <c r="Q394" s="27">
        <f t="shared" si="154"/>
        <v>3.909933775</v>
      </c>
      <c r="R394" s="23">
        <f t="shared" si="155"/>
        <v>0.09</v>
      </c>
      <c r="S394" s="27">
        <f t="shared" si="156"/>
        <v>4.261827815</v>
      </c>
      <c r="T394" s="6" t="s">
        <v>40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6.5" customHeight="1">
      <c r="A395" s="7" t="b">
        <v>0</v>
      </c>
      <c r="B395" s="6" t="s">
        <v>48</v>
      </c>
      <c r="C395" s="6" t="s">
        <v>858</v>
      </c>
      <c r="D395" s="6" t="s">
        <v>866</v>
      </c>
      <c r="E395" s="6" t="s">
        <v>60</v>
      </c>
      <c r="F395" s="32" t="s">
        <v>232</v>
      </c>
      <c r="G395" s="6" t="s">
        <v>134</v>
      </c>
      <c r="H395" s="19">
        <v>220000.0</v>
      </c>
      <c r="I395" s="34" t="s">
        <v>62</v>
      </c>
      <c r="J395" s="22">
        <v>670.0</v>
      </c>
      <c r="K395" s="22">
        <v>531.0</v>
      </c>
      <c r="L395" s="22">
        <v>3384.0</v>
      </c>
      <c r="M395" s="23">
        <v>0.42</v>
      </c>
      <c r="N395" s="24">
        <v>2.99</v>
      </c>
      <c r="O395" s="26" t="s">
        <v>29</v>
      </c>
      <c r="P395" s="26" t="s">
        <v>77</v>
      </c>
      <c r="Q395" s="27">
        <f t="shared" si="154"/>
        <v>5.050746269</v>
      </c>
      <c r="R395" s="23">
        <f t="shared" si="155"/>
        <v>0.08</v>
      </c>
      <c r="S395" s="27">
        <f t="shared" si="156"/>
        <v>5.45480597</v>
      </c>
      <c r="T395" s="6" t="s">
        <v>40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6.5" customHeight="1">
      <c r="A396" s="7" t="b">
        <v>0</v>
      </c>
      <c r="B396" s="6" t="s">
        <v>223</v>
      </c>
      <c r="C396" s="6" t="s">
        <v>858</v>
      </c>
      <c r="D396" s="6" t="s">
        <v>867</v>
      </c>
      <c r="E396" s="6" t="s">
        <v>253</v>
      </c>
      <c r="F396" s="32" t="s">
        <v>868</v>
      </c>
      <c r="G396" s="6" t="s">
        <v>134</v>
      </c>
      <c r="H396" s="19">
        <v>5000000.0</v>
      </c>
      <c r="I396" s="35" t="s">
        <v>76</v>
      </c>
      <c r="J396" s="22">
        <v>627.0</v>
      </c>
      <c r="K396" s="22">
        <v>480.0</v>
      </c>
      <c r="L396" s="22">
        <v>2840.0</v>
      </c>
      <c r="M396" s="23">
        <v>0.41</v>
      </c>
      <c r="N396" s="24">
        <v>6.06</v>
      </c>
      <c r="O396" s="26" t="s">
        <v>29</v>
      </c>
      <c r="P396" s="26" t="s">
        <v>77</v>
      </c>
      <c r="Q396" s="27">
        <f t="shared" si="154"/>
        <v>4.529505582</v>
      </c>
      <c r="R396" s="23">
        <f t="shared" si="155"/>
        <v>0.09</v>
      </c>
      <c r="S396" s="27">
        <f t="shared" si="156"/>
        <v>4.937161085</v>
      </c>
      <c r="T396" s="6" t="s">
        <v>40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6.5" customHeight="1">
      <c r="A397" s="7" t="b">
        <v>0</v>
      </c>
      <c r="B397" s="6" t="s">
        <v>266</v>
      </c>
      <c r="C397" s="6" t="s">
        <v>858</v>
      </c>
      <c r="D397" s="6" t="s">
        <v>869</v>
      </c>
      <c r="E397" s="6" t="s">
        <v>253</v>
      </c>
      <c r="F397" s="32" t="s">
        <v>174</v>
      </c>
      <c r="G397" s="6" t="s">
        <v>134</v>
      </c>
      <c r="H397" s="19">
        <v>5500000.0</v>
      </c>
      <c r="I397" s="35" t="s">
        <v>76</v>
      </c>
      <c r="J397" s="22">
        <v>618.0</v>
      </c>
      <c r="K397" s="22">
        <v>480.0</v>
      </c>
      <c r="L397" s="22">
        <v>2469.0</v>
      </c>
      <c r="M397" s="23">
        <v>0.41</v>
      </c>
      <c r="N397" s="24">
        <v>6.06</v>
      </c>
      <c r="O397" s="26" t="s">
        <v>29</v>
      </c>
      <c r="P397" s="26" t="s">
        <v>77</v>
      </c>
      <c r="Q397" s="27">
        <f t="shared" si="154"/>
        <v>3.995145631</v>
      </c>
      <c r="R397" s="23">
        <f t="shared" si="155"/>
        <v>0.09</v>
      </c>
      <c r="S397" s="27">
        <f t="shared" si="156"/>
        <v>4.354708738</v>
      </c>
      <c r="T397" s="6" t="s">
        <v>40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6.5" customHeight="1">
      <c r="A398" s="7" t="b">
        <v>0</v>
      </c>
      <c r="B398" s="6" t="s">
        <v>130</v>
      </c>
      <c r="C398" s="6" t="s">
        <v>858</v>
      </c>
      <c r="D398" s="6" t="s">
        <v>870</v>
      </c>
      <c r="E398" s="6" t="s">
        <v>156</v>
      </c>
      <c r="F398" s="50" t="s">
        <v>871</v>
      </c>
      <c r="G398" s="6" t="s">
        <v>134</v>
      </c>
      <c r="H398" s="19">
        <v>1550000.0</v>
      </c>
      <c r="I398" s="35" t="s">
        <v>76</v>
      </c>
      <c r="J398" s="22">
        <v>903.0</v>
      </c>
      <c r="K398" s="22">
        <v>663.0</v>
      </c>
      <c r="L398" s="22">
        <v>3296.0</v>
      </c>
      <c r="M398" s="23">
        <v>0.42</v>
      </c>
      <c r="N398" s="24">
        <v>3.8</v>
      </c>
      <c r="O398" s="26" t="s">
        <v>29</v>
      </c>
      <c r="P398" s="26" t="s">
        <v>77</v>
      </c>
      <c r="Q398" s="27">
        <f t="shared" si="154"/>
        <v>3.650055371</v>
      </c>
      <c r="R398" s="23">
        <f t="shared" si="155"/>
        <v>0.08</v>
      </c>
      <c r="S398" s="27">
        <f t="shared" si="156"/>
        <v>3.942059801</v>
      </c>
      <c r="T398" s="6" t="s">
        <v>40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6.5" customHeight="1">
      <c r="A399" s="7" t="b">
        <v>0</v>
      </c>
      <c r="B399" s="5" t="s">
        <v>90</v>
      </c>
      <c r="C399" s="5" t="s">
        <v>858</v>
      </c>
      <c r="D399" s="5" t="s">
        <v>872</v>
      </c>
      <c r="E399" s="5" t="s">
        <v>156</v>
      </c>
      <c r="F399" s="32" t="s">
        <v>873</v>
      </c>
      <c r="G399" s="5" t="s">
        <v>134</v>
      </c>
      <c r="H399" s="9">
        <v>3400000.0</v>
      </c>
      <c r="I399" s="34" t="s">
        <v>62</v>
      </c>
      <c r="J399" s="9"/>
      <c r="K399" s="9"/>
      <c r="L399" s="9"/>
      <c r="M399" s="28"/>
      <c r="N399" s="29"/>
      <c r="O399" s="30"/>
      <c r="P399" s="30"/>
      <c r="Q399" s="16"/>
      <c r="R399" s="18"/>
      <c r="S399" s="16"/>
      <c r="T399" s="5" t="s">
        <v>34</v>
      </c>
      <c r="U399" s="21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6.5" customHeight="1">
      <c r="A400" s="7" t="b">
        <v>0</v>
      </c>
      <c r="B400" s="6" t="s">
        <v>123</v>
      </c>
      <c r="C400" s="6" t="s">
        <v>858</v>
      </c>
      <c r="D400" s="6" t="s">
        <v>874</v>
      </c>
      <c r="E400" s="6" t="s">
        <v>156</v>
      </c>
      <c r="F400" s="50" t="s">
        <v>875</v>
      </c>
      <c r="G400" s="6" t="s">
        <v>134</v>
      </c>
      <c r="H400" s="19">
        <v>2000000.0</v>
      </c>
      <c r="I400" s="35" t="s">
        <v>76</v>
      </c>
      <c r="J400" s="22">
        <v>1055.0</v>
      </c>
      <c r="K400" s="22">
        <v>847.0</v>
      </c>
      <c r="L400" s="22">
        <v>3521.0</v>
      </c>
      <c r="M400" s="23">
        <v>0.42</v>
      </c>
      <c r="N400" s="24">
        <v>3.99</v>
      </c>
      <c r="O400" s="26" t="s">
        <v>29</v>
      </c>
      <c r="P400" s="26" t="s">
        <v>77</v>
      </c>
      <c r="Q400" s="27">
        <f t="shared" ref="Q400:Q402" si="157">L400/J400</f>
        <v>3.337440758</v>
      </c>
      <c r="R400" s="23">
        <f t="shared" ref="R400:R402" si="158">0+((ABS(0.5-M400)*1))</f>
        <v>0.08</v>
      </c>
      <c r="S400" s="27">
        <f t="shared" ref="S400:S402" si="159">Q400*(R400+1)</f>
        <v>3.604436019</v>
      </c>
      <c r="T400" s="6" t="s">
        <v>40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6.5" customHeight="1">
      <c r="A401" s="7" t="b">
        <v>0</v>
      </c>
      <c r="B401" s="6" t="s">
        <v>41</v>
      </c>
      <c r="C401" s="6" t="s">
        <v>876</v>
      </c>
      <c r="D401" s="6" t="s">
        <v>877</v>
      </c>
      <c r="E401" s="6" t="s">
        <v>92</v>
      </c>
      <c r="F401" s="36" t="s">
        <v>399</v>
      </c>
      <c r="G401" s="6" t="s">
        <v>128</v>
      </c>
      <c r="H401" s="19">
        <v>34000.0</v>
      </c>
      <c r="I401" s="10" t="s">
        <v>27</v>
      </c>
      <c r="J401" s="22">
        <v>503.0</v>
      </c>
      <c r="K401" s="22">
        <v>516.0</v>
      </c>
      <c r="L401" s="22">
        <v>3968.0</v>
      </c>
      <c r="M401" s="23">
        <v>0.53</v>
      </c>
      <c r="N401" s="24">
        <v>3.98</v>
      </c>
      <c r="O401" s="26" t="s">
        <v>29</v>
      </c>
      <c r="P401" s="26" t="s">
        <v>30</v>
      </c>
      <c r="Q401" s="27">
        <f t="shared" si="157"/>
        <v>7.888667992</v>
      </c>
      <c r="R401" s="23">
        <f t="shared" si="158"/>
        <v>0.03</v>
      </c>
      <c r="S401" s="27">
        <f t="shared" si="159"/>
        <v>8.125328032</v>
      </c>
      <c r="T401" s="6" t="s">
        <v>40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6.5" customHeight="1">
      <c r="A402" s="7" t="b">
        <v>0</v>
      </c>
      <c r="B402" s="6" t="s">
        <v>196</v>
      </c>
      <c r="C402" s="6" t="s">
        <v>876</v>
      </c>
      <c r="D402" s="6" t="s">
        <v>878</v>
      </c>
      <c r="E402" s="6" t="s">
        <v>92</v>
      </c>
      <c r="F402" s="36" t="s">
        <v>879</v>
      </c>
      <c r="G402" s="6" t="s">
        <v>128</v>
      </c>
      <c r="H402" s="19">
        <v>63000.0</v>
      </c>
      <c r="I402" s="34" t="s">
        <v>62</v>
      </c>
      <c r="J402" s="22">
        <v>603.0</v>
      </c>
      <c r="K402" s="22">
        <v>626.0</v>
      </c>
      <c r="L402" s="22">
        <v>4515.0</v>
      </c>
      <c r="M402" s="23">
        <v>0.55</v>
      </c>
      <c r="N402" s="24">
        <v>3.98</v>
      </c>
      <c r="O402" s="26" t="s">
        <v>71</v>
      </c>
      <c r="P402" s="26" t="s">
        <v>30</v>
      </c>
      <c r="Q402" s="27">
        <f t="shared" si="157"/>
        <v>7.487562189</v>
      </c>
      <c r="R402" s="23">
        <f t="shared" si="158"/>
        <v>0.05</v>
      </c>
      <c r="S402" s="27">
        <f t="shared" si="159"/>
        <v>7.861940299</v>
      </c>
      <c r="T402" s="6" t="s">
        <v>40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6.5" customHeight="1">
      <c r="A403" s="7" t="b">
        <v>0</v>
      </c>
      <c r="B403" s="5" t="s">
        <v>196</v>
      </c>
      <c r="C403" s="5" t="s">
        <v>876</v>
      </c>
      <c r="D403" s="5" t="s">
        <v>880</v>
      </c>
      <c r="E403" s="5" t="s">
        <v>92</v>
      </c>
      <c r="F403" s="36" t="s">
        <v>881</v>
      </c>
      <c r="G403" s="5" t="s">
        <v>128</v>
      </c>
      <c r="H403" s="9"/>
      <c r="I403" s="48"/>
      <c r="J403" s="9"/>
      <c r="K403" s="9"/>
      <c r="L403" s="9"/>
      <c r="M403" s="28"/>
      <c r="N403" s="29"/>
      <c r="O403" s="30"/>
      <c r="P403" s="30"/>
      <c r="Q403" s="16"/>
      <c r="R403" s="18"/>
      <c r="S403" s="16"/>
      <c r="T403" s="5" t="s">
        <v>129</v>
      </c>
      <c r="U403" s="21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6.5" customHeight="1">
      <c r="A404" s="7" t="b">
        <v>0</v>
      </c>
      <c r="B404" s="6" t="s">
        <v>180</v>
      </c>
      <c r="C404" s="6" t="s">
        <v>876</v>
      </c>
      <c r="D404" s="6" t="s">
        <v>882</v>
      </c>
      <c r="E404" s="6" t="s">
        <v>231</v>
      </c>
      <c r="F404" s="32" t="s">
        <v>883</v>
      </c>
      <c r="G404" s="6" t="s">
        <v>128</v>
      </c>
      <c r="H404" s="19">
        <v>440000.0</v>
      </c>
      <c r="I404" s="34" t="s">
        <v>62</v>
      </c>
      <c r="J404" s="22">
        <v>720.0</v>
      </c>
      <c r="K404" s="22">
        <v>590.0</v>
      </c>
      <c r="L404" s="22">
        <v>3616.0</v>
      </c>
      <c r="M404" s="23">
        <v>0.48</v>
      </c>
      <c r="N404" s="24">
        <v>3.98</v>
      </c>
      <c r="O404" s="26" t="s">
        <v>29</v>
      </c>
      <c r="P404" s="26" t="s">
        <v>30</v>
      </c>
      <c r="Q404" s="27">
        <f t="shared" ref="Q404:Q405" si="160">L404/J404</f>
        <v>5.022222222</v>
      </c>
      <c r="R404" s="23">
        <f t="shared" ref="R404:R405" si="161">0+((ABS(0.5-M404)*1))</f>
        <v>0.02</v>
      </c>
      <c r="S404" s="27">
        <f t="shared" ref="S404:S405" si="162">Q404*(R404+1)</f>
        <v>5.122666667</v>
      </c>
      <c r="T404" s="6" t="s">
        <v>40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6.5" customHeight="1">
      <c r="A405" s="7" t="b">
        <v>0</v>
      </c>
      <c r="B405" s="37" t="s">
        <v>180</v>
      </c>
      <c r="C405" s="37" t="s">
        <v>876</v>
      </c>
      <c r="D405" s="37" t="s">
        <v>884</v>
      </c>
      <c r="E405" s="37" t="s">
        <v>231</v>
      </c>
      <c r="F405" s="50" t="s">
        <v>488</v>
      </c>
      <c r="G405" s="37" t="s">
        <v>128</v>
      </c>
      <c r="H405" s="38">
        <v>200000.0</v>
      </c>
      <c r="I405" s="35" t="s">
        <v>76</v>
      </c>
      <c r="J405" s="39">
        <v>720.0</v>
      </c>
      <c r="K405" s="39">
        <v>590.0</v>
      </c>
      <c r="L405" s="39">
        <v>2557.0</v>
      </c>
      <c r="M405" s="40">
        <v>0.48</v>
      </c>
      <c r="N405" s="41">
        <v>3.98</v>
      </c>
      <c r="O405" s="42" t="s">
        <v>29</v>
      </c>
      <c r="P405" s="43" t="s">
        <v>30</v>
      </c>
      <c r="Q405" s="44">
        <f t="shared" si="160"/>
        <v>3.551388889</v>
      </c>
      <c r="R405" s="45">
        <f t="shared" si="161"/>
        <v>0.02</v>
      </c>
      <c r="S405" s="44">
        <f t="shared" si="162"/>
        <v>3.622416667</v>
      </c>
      <c r="T405" s="37" t="s">
        <v>88</v>
      </c>
      <c r="U405" s="37" t="s">
        <v>278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6.5" customHeight="1">
      <c r="A406" s="7" t="b">
        <v>0</v>
      </c>
      <c r="B406" s="5" t="s">
        <v>21</v>
      </c>
      <c r="C406" s="5" t="s">
        <v>876</v>
      </c>
      <c r="D406" s="5" t="s">
        <v>885</v>
      </c>
      <c r="E406" s="5" t="s">
        <v>141</v>
      </c>
      <c r="F406" s="32" t="s">
        <v>886</v>
      </c>
      <c r="G406" s="5" t="s">
        <v>128</v>
      </c>
      <c r="H406" s="9">
        <v>250000.0</v>
      </c>
      <c r="I406" s="34" t="s">
        <v>62</v>
      </c>
      <c r="J406" s="9"/>
      <c r="K406" s="9"/>
      <c r="L406" s="9"/>
      <c r="M406" s="28"/>
      <c r="N406" s="29"/>
      <c r="O406" s="30"/>
      <c r="P406" s="30"/>
      <c r="Q406" s="16"/>
      <c r="R406" s="18"/>
      <c r="S406" s="16"/>
      <c r="T406" s="5" t="s">
        <v>34</v>
      </c>
      <c r="U406" s="21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6.5" customHeight="1">
      <c r="A407" s="7" t="b">
        <v>0</v>
      </c>
      <c r="B407" s="6" t="s">
        <v>116</v>
      </c>
      <c r="C407" s="6" t="s">
        <v>876</v>
      </c>
      <c r="D407" s="6" t="s">
        <v>887</v>
      </c>
      <c r="E407" s="6" t="s">
        <v>141</v>
      </c>
      <c r="F407" s="36" t="s">
        <v>888</v>
      </c>
      <c r="G407" s="6" t="s">
        <v>128</v>
      </c>
      <c r="H407" s="19">
        <v>90000.0</v>
      </c>
      <c r="I407" s="10" t="s">
        <v>27</v>
      </c>
      <c r="J407" s="22">
        <v>503.0</v>
      </c>
      <c r="K407" s="22">
        <v>479.0</v>
      </c>
      <c r="L407" s="22">
        <v>3573.0</v>
      </c>
      <c r="M407" s="23">
        <v>0.47</v>
      </c>
      <c r="N407" s="24">
        <v>3.98</v>
      </c>
      <c r="O407" s="26" t="s">
        <v>29</v>
      </c>
      <c r="P407" s="26" t="s">
        <v>30</v>
      </c>
      <c r="Q407" s="27">
        <f t="shared" ref="Q407:Q411" si="163">L407/J407</f>
        <v>7.103379722</v>
      </c>
      <c r="R407" s="23">
        <f t="shared" ref="R407:R411" si="164">0+((ABS(0.5-M407)*1))</f>
        <v>0.03</v>
      </c>
      <c r="S407" s="27">
        <f t="shared" ref="S407:S411" si="165">Q407*(R407+1)</f>
        <v>7.316481113</v>
      </c>
      <c r="T407" s="6" t="s">
        <v>40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6.5" customHeight="1">
      <c r="A408" s="7" t="b">
        <v>0</v>
      </c>
      <c r="B408" s="6" t="s">
        <v>90</v>
      </c>
      <c r="C408" s="6" t="s">
        <v>876</v>
      </c>
      <c r="D408" s="6" t="s">
        <v>889</v>
      </c>
      <c r="E408" s="6" t="s">
        <v>156</v>
      </c>
      <c r="F408" s="50" t="s">
        <v>488</v>
      </c>
      <c r="G408" s="6" t="s">
        <v>128</v>
      </c>
      <c r="H408" s="19">
        <v>2800000.0</v>
      </c>
      <c r="I408" s="35" t="s">
        <v>76</v>
      </c>
      <c r="J408" s="22">
        <v>1086.0</v>
      </c>
      <c r="K408" s="22">
        <v>700.0</v>
      </c>
      <c r="L408" s="22">
        <v>3737.0</v>
      </c>
      <c r="M408" s="23">
        <v>0.49</v>
      </c>
      <c r="N408" s="24">
        <v>1.6</v>
      </c>
      <c r="O408" s="26" t="s">
        <v>71</v>
      </c>
      <c r="P408" s="26" t="s">
        <v>77</v>
      </c>
      <c r="Q408" s="27">
        <f t="shared" si="163"/>
        <v>3.44106814</v>
      </c>
      <c r="R408" s="23">
        <f t="shared" si="164"/>
        <v>0.01</v>
      </c>
      <c r="S408" s="27">
        <f t="shared" si="165"/>
        <v>3.475478821</v>
      </c>
      <c r="T408" s="6" t="s">
        <v>40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6.5" customHeight="1">
      <c r="A409" s="7" t="b">
        <v>0</v>
      </c>
      <c r="B409" s="6" t="s">
        <v>90</v>
      </c>
      <c r="C409" s="6" t="s">
        <v>876</v>
      </c>
      <c r="D409" s="6" t="s">
        <v>890</v>
      </c>
      <c r="E409" s="6" t="s">
        <v>84</v>
      </c>
      <c r="F409" s="36" t="s">
        <v>891</v>
      </c>
      <c r="G409" s="6" t="s">
        <v>128</v>
      </c>
      <c r="H409" s="19">
        <v>120000.0</v>
      </c>
      <c r="I409" s="10" t="s">
        <v>27</v>
      </c>
      <c r="J409" s="22">
        <v>577.0</v>
      </c>
      <c r="K409" s="22">
        <v>590.0</v>
      </c>
      <c r="L409" s="22">
        <v>4305.0</v>
      </c>
      <c r="M409" s="23">
        <v>0.54</v>
      </c>
      <c r="N409" s="24">
        <v>3.98</v>
      </c>
      <c r="O409" s="26" t="s">
        <v>71</v>
      </c>
      <c r="P409" s="26" t="s">
        <v>30</v>
      </c>
      <c r="Q409" s="27">
        <f t="shared" si="163"/>
        <v>7.461005199</v>
      </c>
      <c r="R409" s="23">
        <f t="shared" si="164"/>
        <v>0.04</v>
      </c>
      <c r="S409" s="27">
        <f t="shared" si="165"/>
        <v>7.759445407</v>
      </c>
      <c r="T409" s="6" t="s">
        <v>40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6.5" customHeight="1">
      <c r="A410" s="7" t="b">
        <v>0</v>
      </c>
      <c r="B410" s="6" t="s">
        <v>180</v>
      </c>
      <c r="C410" s="6" t="s">
        <v>876</v>
      </c>
      <c r="D410" s="6" t="s">
        <v>892</v>
      </c>
      <c r="E410" s="6" t="s">
        <v>24</v>
      </c>
      <c r="F410" s="36" t="s">
        <v>667</v>
      </c>
      <c r="G410" s="6" t="s">
        <v>128</v>
      </c>
      <c r="H410" s="19">
        <v>50000.0</v>
      </c>
      <c r="I410" s="10" t="s">
        <v>27</v>
      </c>
      <c r="J410" s="22">
        <v>385.0</v>
      </c>
      <c r="K410" s="22">
        <v>384.0</v>
      </c>
      <c r="L410" s="22">
        <v>3541.0</v>
      </c>
      <c r="M410" s="23">
        <v>0.52</v>
      </c>
      <c r="N410" s="24">
        <v>3.0</v>
      </c>
      <c r="O410" s="26" t="s">
        <v>29</v>
      </c>
      <c r="P410" s="26" t="s">
        <v>30</v>
      </c>
      <c r="Q410" s="27">
        <f t="shared" si="163"/>
        <v>9.197402597</v>
      </c>
      <c r="R410" s="23">
        <f t="shared" si="164"/>
        <v>0.02</v>
      </c>
      <c r="S410" s="27">
        <f t="shared" si="165"/>
        <v>9.381350649</v>
      </c>
      <c r="T410" s="6" t="s">
        <v>40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6.5" customHeight="1">
      <c r="A411" s="7" t="b">
        <v>0</v>
      </c>
      <c r="B411" s="6" t="s">
        <v>104</v>
      </c>
      <c r="C411" s="6" t="s">
        <v>893</v>
      </c>
      <c r="D411" s="6" t="s">
        <v>894</v>
      </c>
      <c r="E411" s="6" t="s">
        <v>69</v>
      </c>
      <c r="F411" s="8" t="s">
        <v>895</v>
      </c>
      <c r="G411" s="6" t="s">
        <v>128</v>
      </c>
      <c r="H411" s="19">
        <v>200000.0</v>
      </c>
      <c r="I411" s="34" t="s">
        <v>62</v>
      </c>
      <c r="J411" s="22">
        <v>235.0</v>
      </c>
      <c r="K411" s="22">
        <v>181.0</v>
      </c>
      <c r="L411" s="22">
        <v>2954.0</v>
      </c>
      <c r="M411" s="23">
        <v>0.53</v>
      </c>
      <c r="N411" s="24">
        <v>2.46</v>
      </c>
      <c r="O411" s="26" t="s">
        <v>29</v>
      </c>
      <c r="P411" s="26" t="s">
        <v>30</v>
      </c>
      <c r="Q411" s="27">
        <f t="shared" si="163"/>
        <v>12.57021277</v>
      </c>
      <c r="R411" s="23">
        <f t="shared" si="164"/>
        <v>0.03</v>
      </c>
      <c r="S411" s="27">
        <f t="shared" si="165"/>
        <v>12.94731915</v>
      </c>
      <c r="T411" s="6" t="s">
        <v>72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6.5" customHeight="1">
      <c r="A412" s="7" t="b">
        <v>0</v>
      </c>
      <c r="B412" s="5" t="s">
        <v>104</v>
      </c>
      <c r="C412" s="5" t="s">
        <v>893</v>
      </c>
      <c r="D412" s="5" t="s">
        <v>896</v>
      </c>
      <c r="E412" s="5" t="s">
        <v>231</v>
      </c>
      <c r="F412" s="36" t="s">
        <v>262</v>
      </c>
      <c r="G412" s="5" t="s">
        <v>128</v>
      </c>
      <c r="H412" s="9">
        <v>750000.0</v>
      </c>
      <c r="I412" s="53" t="s">
        <v>430</v>
      </c>
      <c r="J412" s="9"/>
      <c r="K412" s="9"/>
      <c r="L412" s="9"/>
      <c r="M412" s="28"/>
      <c r="N412" s="29"/>
      <c r="O412" s="30"/>
      <c r="P412" s="30"/>
      <c r="Q412" s="16"/>
      <c r="R412" s="18"/>
      <c r="S412" s="16"/>
      <c r="T412" s="5" t="s">
        <v>129</v>
      </c>
      <c r="U412" s="21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6.5" customHeight="1">
      <c r="A413" s="7" t="b">
        <v>0</v>
      </c>
      <c r="B413" s="6" t="s">
        <v>897</v>
      </c>
      <c r="C413" s="6" t="s">
        <v>893</v>
      </c>
      <c r="D413" s="6" t="s">
        <v>898</v>
      </c>
      <c r="E413" s="6" t="s">
        <v>99</v>
      </c>
      <c r="F413" s="17" t="s">
        <v>561</v>
      </c>
      <c r="G413" s="6" t="s">
        <v>128</v>
      </c>
      <c r="H413" s="19">
        <v>1700000.0</v>
      </c>
      <c r="I413" s="35" t="s">
        <v>76</v>
      </c>
      <c r="J413" s="22">
        <v>241.0</v>
      </c>
      <c r="K413" s="22">
        <v>217.0</v>
      </c>
      <c r="L413" s="22">
        <v>2960.0</v>
      </c>
      <c r="M413" s="23">
        <v>0.48</v>
      </c>
      <c r="N413" s="24">
        <v>3.0</v>
      </c>
      <c r="O413" s="26" t="s">
        <v>29</v>
      </c>
      <c r="P413" s="26" t="s">
        <v>30</v>
      </c>
      <c r="Q413" s="27">
        <f t="shared" ref="Q413:Q415" si="166">L413/J413</f>
        <v>12.28215768</v>
      </c>
      <c r="R413" s="23">
        <f t="shared" ref="R413:R415" si="167">0+((ABS(0.5-M413)*1))</f>
        <v>0.02</v>
      </c>
      <c r="S413" s="27">
        <f t="shared" ref="S413:S415" si="168">Q413*(R413+1)</f>
        <v>12.52780083</v>
      </c>
      <c r="T413" s="6" t="s">
        <v>40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6.5" customHeight="1">
      <c r="A414" s="7" t="b">
        <v>0</v>
      </c>
      <c r="B414" s="6" t="s">
        <v>322</v>
      </c>
      <c r="C414" s="6" t="s">
        <v>893</v>
      </c>
      <c r="D414" s="6" t="s">
        <v>899</v>
      </c>
      <c r="E414" s="6" t="s">
        <v>74</v>
      </c>
      <c r="F414" s="25" t="s">
        <v>900</v>
      </c>
      <c r="G414" s="6" t="s">
        <v>128</v>
      </c>
      <c r="H414" s="19">
        <v>6.0E7</v>
      </c>
      <c r="I414" s="35" t="s">
        <v>76</v>
      </c>
      <c r="J414" s="22">
        <v>310.0</v>
      </c>
      <c r="K414" s="22">
        <v>234.0</v>
      </c>
      <c r="L414" s="22">
        <v>1984.0</v>
      </c>
      <c r="M414" s="23">
        <v>0.48</v>
      </c>
      <c r="N414" s="24">
        <v>2.98</v>
      </c>
      <c r="O414" s="26" t="s">
        <v>29</v>
      </c>
      <c r="P414" s="26" t="s">
        <v>30</v>
      </c>
      <c r="Q414" s="27">
        <f t="shared" si="166"/>
        <v>6.4</v>
      </c>
      <c r="R414" s="23">
        <f t="shared" si="167"/>
        <v>0.02</v>
      </c>
      <c r="S414" s="27">
        <f t="shared" si="168"/>
        <v>6.528</v>
      </c>
      <c r="T414" s="6" t="s">
        <v>40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6.5" customHeight="1">
      <c r="A415" s="7" t="b">
        <v>0</v>
      </c>
      <c r="B415" s="6" t="s">
        <v>130</v>
      </c>
      <c r="C415" s="6" t="s">
        <v>893</v>
      </c>
      <c r="D415" s="6" t="s">
        <v>901</v>
      </c>
      <c r="E415" s="6" t="s">
        <v>189</v>
      </c>
      <c r="F415" s="25" t="s">
        <v>902</v>
      </c>
      <c r="G415" s="6" t="s">
        <v>128</v>
      </c>
      <c r="H415" s="19">
        <v>25000.0</v>
      </c>
      <c r="I415" s="10" t="s">
        <v>27</v>
      </c>
      <c r="J415" s="22">
        <v>355.0</v>
      </c>
      <c r="K415" s="22">
        <v>326.0</v>
      </c>
      <c r="L415" s="22">
        <v>3263.0</v>
      </c>
      <c r="M415" s="23">
        <v>0.6</v>
      </c>
      <c r="N415" s="24">
        <v>1.99</v>
      </c>
      <c r="O415" s="26" t="s">
        <v>71</v>
      </c>
      <c r="P415" s="26" t="s">
        <v>30</v>
      </c>
      <c r="Q415" s="27">
        <f t="shared" si="166"/>
        <v>9.191549296</v>
      </c>
      <c r="R415" s="23">
        <f t="shared" si="167"/>
        <v>0.1</v>
      </c>
      <c r="S415" s="27">
        <f t="shared" si="168"/>
        <v>10.11070423</v>
      </c>
      <c r="T415" s="6" t="s">
        <v>40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6.5" customHeight="1">
      <c r="A416" s="7" t="b">
        <v>0</v>
      </c>
      <c r="B416" s="5" t="s">
        <v>903</v>
      </c>
      <c r="C416" s="5" t="s">
        <v>893</v>
      </c>
      <c r="D416" s="5" t="s">
        <v>904</v>
      </c>
      <c r="E416" s="5" t="s">
        <v>253</v>
      </c>
      <c r="F416" s="32" t="s">
        <v>868</v>
      </c>
      <c r="G416" s="5" t="s">
        <v>128</v>
      </c>
      <c r="H416" s="9"/>
      <c r="I416" s="48"/>
      <c r="J416" s="9"/>
      <c r="K416" s="9"/>
      <c r="L416" s="9"/>
      <c r="M416" s="28"/>
      <c r="N416" s="29"/>
      <c r="O416" s="30"/>
      <c r="P416" s="30"/>
      <c r="Q416" s="16"/>
      <c r="R416" s="18"/>
      <c r="S416" s="16"/>
      <c r="T416" s="5" t="s">
        <v>129</v>
      </c>
      <c r="U416" s="21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6.5" customHeight="1">
      <c r="A417" s="7" t="b">
        <v>0</v>
      </c>
      <c r="B417" s="6" t="s">
        <v>299</v>
      </c>
      <c r="C417" s="6" t="s">
        <v>893</v>
      </c>
      <c r="D417" s="6" t="s">
        <v>905</v>
      </c>
      <c r="E417" s="6" t="s">
        <v>69</v>
      </c>
      <c r="F417" s="25" t="s">
        <v>190</v>
      </c>
      <c r="G417" s="6" t="s">
        <v>128</v>
      </c>
      <c r="H417" s="19">
        <v>225000.0</v>
      </c>
      <c r="I417" s="20" t="s">
        <v>33</v>
      </c>
      <c r="J417" s="22">
        <v>379.0</v>
      </c>
      <c r="K417" s="22">
        <v>417.0</v>
      </c>
      <c r="L417" s="22">
        <v>3640.0</v>
      </c>
      <c r="M417" s="23">
        <v>0.53</v>
      </c>
      <c r="N417" s="24">
        <v>5.95</v>
      </c>
      <c r="O417" s="26" t="s">
        <v>29</v>
      </c>
      <c r="P417" s="26" t="s">
        <v>30</v>
      </c>
      <c r="Q417" s="27">
        <f t="shared" ref="Q417:Q418" si="169">L417/J417</f>
        <v>9.604221636</v>
      </c>
      <c r="R417" s="23">
        <f t="shared" ref="R417:R418" si="170">0+((ABS(0.5-M417)*1))</f>
        <v>0.03</v>
      </c>
      <c r="S417" s="27">
        <f t="shared" ref="S417:S418" si="171">Q417*(R417+1)</f>
        <v>9.892348285</v>
      </c>
      <c r="T417" s="6" t="s">
        <v>40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6.5" customHeight="1">
      <c r="A418" s="7" t="b">
        <v>0</v>
      </c>
      <c r="B418" s="6" t="s">
        <v>285</v>
      </c>
      <c r="C418" s="6" t="s">
        <v>893</v>
      </c>
      <c r="D418" s="6" t="s">
        <v>906</v>
      </c>
      <c r="E418" s="6" t="s">
        <v>92</v>
      </c>
      <c r="F418" s="36" t="s">
        <v>907</v>
      </c>
      <c r="G418" s="6" t="s">
        <v>128</v>
      </c>
      <c r="H418" s="19">
        <v>175000.0</v>
      </c>
      <c r="I418" s="34" t="s">
        <v>62</v>
      </c>
      <c r="J418" s="22">
        <v>510.0</v>
      </c>
      <c r="K418" s="22">
        <v>457.0</v>
      </c>
      <c r="L418" s="22">
        <v>3854.0</v>
      </c>
      <c r="M418" s="23">
        <v>0.54</v>
      </c>
      <c r="N418" s="24">
        <v>6.21</v>
      </c>
      <c r="O418" s="26" t="s">
        <v>29</v>
      </c>
      <c r="P418" s="26" t="s">
        <v>30</v>
      </c>
      <c r="Q418" s="27">
        <f t="shared" si="169"/>
        <v>7.556862745</v>
      </c>
      <c r="R418" s="23">
        <f t="shared" si="170"/>
        <v>0.04</v>
      </c>
      <c r="S418" s="27">
        <f t="shared" si="171"/>
        <v>7.859137255</v>
      </c>
      <c r="T418" s="6" t="s">
        <v>72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6.5" customHeight="1">
      <c r="A419" s="7" t="b">
        <v>0</v>
      </c>
      <c r="B419" s="5" t="s">
        <v>79</v>
      </c>
      <c r="C419" s="5" t="s">
        <v>893</v>
      </c>
      <c r="D419" s="5" t="s">
        <v>908</v>
      </c>
      <c r="E419" s="5" t="s">
        <v>374</v>
      </c>
      <c r="F419" s="8" t="s">
        <v>787</v>
      </c>
      <c r="G419" s="5" t="s">
        <v>128</v>
      </c>
      <c r="H419" s="9"/>
      <c r="I419" s="48"/>
      <c r="J419" s="9"/>
      <c r="K419" s="9"/>
      <c r="L419" s="9"/>
      <c r="M419" s="28"/>
      <c r="N419" s="29"/>
      <c r="O419" s="30"/>
      <c r="P419" s="30"/>
      <c r="Q419" s="16"/>
      <c r="R419" s="18"/>
      <c r="S419" s="16"/>
      <c r="T419" s="5" t="s">
        <v>129</v>
      </c>
      <c r="U419" s="21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6.5" customHeight="1">
      <c r="A420" s="7" t="b">
        <v>0</v>
      </c>
      <c r="B420" s="6" t="s">
        <v>130</v>
      </c>
      <c r="C420" s="6" t="s">
        <v>893</v>
      </c>
      <c r="D420" s="6" t="s">
        <v>909</v>
      </c>
      <c r="E420" s="6" t="s">
        <v>374</v>
      </c>
      <c r="F420" s="25" t="s">
        <v>572</v>
      </c>
      <c r="G420" s="6" t="s">
        <v>128</v>
      </c>
      <c r="H420" s="19">
        <v>120000.0</v>
      </c>
      <c r="I420" s="10" t="s">
        <v>27</v>
      </c>
      <c r="J420" s="22">
        <v>603.0</v>
      </c>
      <c r="K420" s="22">
        <v>737.0</v>
      </c>
      <c r="L420" s="22">
        <v>5688.0</v>
      </c>
      <c r="M420" s="23">
        <v>0.55</v>
      </c>
      <c r="N420" s="24">
        <v>5.98</v>
      </c>
      <c r="O420" s="26" t="s">
        <v>71</v>
      </c>
      <c r="P420" s="26" t="s">
        <v>30</v>
      </c>
      <c r="Q420" s="27">
        <f t="shared" ref="Q420:Q428" si="172">L420/J420</f>
        <v>9.432835821</v>
      </c>
      <c r="R420" s="23">
        <f t="shared" ref="R420:R428" si="173">0+((ABS(0.5-M420)*1))</f>
        <v>0.05</v>
      </c>
      <c r="S420" s="27">
        <f t="shared" ref="S420:S428" si="174">Q420*(R420+1)</f>
        <v>9.904477612</v>
      </c>
      <c r="T420" s="6" t="s">
        <v>122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6.5" customHeight="1">
      <c r="A421" s="7" t="b">
        <v>0</v>
      </c>
      <c r="B421" s="6" t="s">
        <v>177</v>
      </c>
      <c r="C421" s="6" t="s">
        <v>893</v>
      </c>
      <c r="D421" s="6" t="s">
        <v>910</v>
      </c>
      <c r="E421" s="6" t="s">
        <v>141</v>
      </c>
      <c r="F421" s="36" t="s">
        <v>799</v>
      </c>
      <c r="G421" s="6" t="s">
        <v>128</v>
      </c>
      <c r="H421" s="19">
        <v>360000.0</v>
      </c>
      <c r="I421" s="34" t="s">
        <v>62</v>
      </c>
      <c r="J421" s="22">
        <v>661.0</v>
      </c>
      <c r="K421" s="22">
        <v>738.0</v>
      </c>
      <c r="L421" s="22">
        <v>4215.0</v>
      </c>
      <c r="M421" s="23">
        <v>0.52</v>
      </c>
      <c r="N421" s="24">
        <v>5.98</v>
      </c>
      <c r="O421" s="26" t="s">
        <v>29</v>
      </c>
      <c r="P421" s="26" t="s">
        <v>30</v>
      </c>
      <c r="Q421" s="27">
        <f t="shared" si="172"/>
        <v>6.376701967</v>
      </c>
      <c r="R421" s="23">
        <f t="shared" si="173"/>
        <v>0.02</v>
      </c>
      <c r="S421" s="27">
        <f t="shared" si="174"/>
        <v>6.504236006</v>
      </c>
      <c r="T421" s="6" t="s">
        <v>40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6.5" customHeight="1">
      <c r="A422" s="7" t="b">
        <v>0</v>
      </c>
      <c r="B422" s="6" t="s">
        <v>79</v>
      </c>
      <c r="C422" s="6" t="s">
        <v>893</v>
      </c>
      <c r="D422" s="6" t="s">
        <v>911</v>
      </c>
      <c r="E422" s="6" t="s">
        <v>514</v>
      </c>
      <c r="F422" s="17" t="s">
        <v>32</v>
      </c>
      <c r="G422" s="6" t="s">
        <v>128</v>
      </c>
      <c r="H422" s="19">
        <v>235000.0</v>
      </c>
      <c r="I422" s="10" t="s">
        <v>27</v>
      </c>
      <c r="J422" s="22">
        <v>228.0</v>
      </c>
      <c r="K422" s="22">
        <v>663.0</v>
      </c>
      <c r="L422" s="22">
        <v>15432.0</v>
      </c>
      <c r="M422" s="23">
        <v>0.53</v>
      </c>
      <c r="N422" s="24">
        <v>5.13</v>
      </c>
      <c r="O422" s="26" t="s">
        <v>71</v>
      </c>
      <c r="P422" s="26" t="s">
        <v>77</v>
      </c>
      <c r="Q422" s="27">
        <f t="shared" si="172"/>
        <v>67.68421053</v>
      </c>
      <c r="R422" s="23">
        <f t="shared" si="173"/>
        <v>0.03</v>
      </c>
      <c r="S422" s="27">
        <f t="shared" si="174"/>
        <v>69.71473684</v>
      </c>
      <c r="T422" s="6" t="s">
        <v>40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6.5" customHeight="1">
      <c r="A423" s="7" t="b">
        <v>0</v>
      </c>
      <c r="B423" s="6" t="s">
        <v>196</v>
      </c>
      <c r="C423" s="6" t="s">
        <v>893</v>
      </c>
      <c r="D423" s="6" t="s">
        <v>912</v>
      </c>
      <c r="E423" s="6" t="s">
        <v>374</v>
      </c>
      <c r="F423" s="17" t="s">
        <v>913</v>
      </c>
      <c r="G423" s="6" t="s">
        <v>128</v>
      </c>
      <c r="H423" s="19">
        <v>50000.0</v>
      </c>
      <c r="I423" s="20" t="s">
        <v>33</v>
      </c>
      <c r="J423" s="22">
        <v>188.0</v>
      </c>
      <c r="K423" s="22">
        <v>332.0</v>
      </c>
      <c r="L423" s="22">
        <v>4764.0</v>
      </c>
      <c r="M423" s="23">
        <v>0.58</v>
      </c>
      <c r="N423" s="24">
        <v>2.3</v>
      </c>
      <c r="O423" s="26" t="s">
        <v>71</v>
      </c>
      <c r="P423" s="26" t="s">
        <v>30</v>
      </c>
      <c r="Q423" s="27">
        <f t="shared" si="172"/>
        <v>25.34042553</v>
      </c>
      <c r="R423" s="23">
        <f t="shared" si="173"/>
        <v>0.08</v>
      </c>
      <c r="S423" s="27">
        <f t="shared" si="174"/>
        <v>27.36765957</v>
      </c>
      <c r="T423" s="6" t="s">
        <v>40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6.5" customHeight="1">
      <c r="A424" s="7" t="b">
        <v>0</v>
      </c>
      <c r="B424" s="6" t="s">
        <v>914</v>
      </c>
      <c r="C424" s="6" t="s">
        <v>915</v>
      </c>
      <c r="D424" s="6" t="s">
        <v>916</v>
      </c>
      <c r="E424" s="6" t="s">
        <v>917</v>
      </c>
      <c r="F424" s="17" t="s">
        <v>918</v>
      </c>
      <c r="G424" s="6" t="s">
        <v>52</v>
      </c>
      <c r="H424" s="19">
        <v>34000.0</v>
      </c>
      <c r="I424" s="34" t="s">
        <v>62</v>
      </c>
      <c r="J424" s="22">
        <v>60.0</v>
      </c>
      <c r="K424" s="22">
        <v>82.0</v>
      </c>
      <c r="L424" s="22">
        <v>1235.0</v>
      </c>
      <c r="M424" s="23">
        <v>0.35</v>
      </c>
      <c r="N424" s="24">
        <v>1.59</v>
      </c>
      <c r="O424" s="26" t="s">
        <v>29</v>
      </c>
      <c r="P424" s="26" t="s">
        <v>29</v>
      </c>
      <c r="Q424" s="27">
        <f t="shared" si="172"/>
        <v>20.58333333</v>
      </c>
      <c r="R424" s="23">
        <f t="shared" si="173"/>
        <v>0.15</v>
      </c>
      <c r="S424" s="27">
        <f t="shared" si="174"/>
        <v>23.67083333</v>
      </c>
      <c r="T424" s="6" t="s">
        <v>40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6.5" customHeight="1">
      <c r="A425" s="7" t="b">
        <v>0</v>
      </c>
      <c r="B425" s="6" t="s">
        <v>48</v>
      </c>
      <c r="C425" s="6" t="s">
        <v>915</v>
      </c>
      <c r="D425" s="6" t="s">
        <v>919</v>
      </c>
      <c r="E425" s="6" t="s">
        <v>917</v>
      </c>
      <c r="F425" s="25" t="s">
        <v>39</v>
      </c>
      <c r="G425" s="6" t="s">
        <v>52</v>
      </c>
      <c r="H425" s="19">
        <v>74000.0</v>
      </c>
      <c r="I425" s="34" t="s">
        <v>62</v>
      </c>
      <c r="J425" s="22">
        <v>200.0</v>
      </c>
      <c r="K425" s="22">
        <v>240.0</v>
      </c>
      <c r="L425" s="22">
        <v>1650.0</v>
      </c>
      <c r="M425" s="23">
        <v>0.4</v>
      </c>
      <c r="N425" s="24" t="s">
        <v>211</v>
      </c>
      <c r="O425" s="26" t="s">
        <v>29</v>
      </c>
      <c r="P425" s="26" t="s">
        <v>29</v>
      </c>
      <c r="Q425" s="27">
        <f t="shared" si="172"/>
        <v>8.25</v>
      </c>
      <c r="R425" s="23">
        <f t="shared" si="173"/>
        <v>0.1</v>
      </c>
      <c r="S425" s="27">
        <f t="shared" si="174"/>
        <v>9.075</v>
      </c>
      <c r="T425" s="6" t="s">
        <v>40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6.5" customHeight="1">
      <c r="A426" s="7" t="b">
        <v>0</v>
      </c>
      <c r="B426" s="6" t="s">
        <v>168</v>
      </c>
      <c r="C426" s="6" t="s">
        <v>920</v>
      </c>
      <c r="D426" s="6" t="s">
        <v>921</v>
      </c>
      <c r="E426" s="6" t="s">
        <v>171</v>
      </c>
      <c r="F426" s="36" t="s">
        <v>922</v>
      </c>
      <c r="G426" s="6" t="s">
        <v>134</v>
      </c>
      <c r="H426" s="19">
        <v>220000.0</v>
      </c>
      <c r="I426" s="35" t="s">
        <v>76</v>
      </c>
      <c r="J426" s="22">
        <v>250.0</v>
      </c>
      <c r="K426" s="22">
        <v>225.0</v>
      </c>
      <c r="L426" s="22">
        <v>2271.0</v>
      </c>
      <c r="M426" s="23">
        <v>0.45</v>
      </c>
      <c r="N426" s="24">
        <v>2.99</v>
      </c>
      <c r="O426" s="26" t="s">
        <v>71</v>
      </c>
      <c r="P426" s="26" t="s">
        <v>77</v>
      </c>
      <c r="Q426" s="27">
        <f t="shared" si="172"/>
        <v>9.084</v>
      </c>
      <c r="R426" s="23">
        <f t="shared" si="173"/>
        <v>0.05</v>
      </c>
      <c r="S426" s="27">
        <f t="shared" si="174"/>
        <v>9.5382</v>
      </c>
      <c r="T426" s="6" t="s">
        <v>137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6.5" customHeight="1">
      <c r="A427" s="7" t="b">
        <v>0</v>
      </c>
      <c r="B427" s="6" t="s">
        <v>97</v>
      </c>
      <c r="C427" s="6" t="s">
        <v>923</v>
      </c>
      <c r="D427" s="6" t="s">
        <v>924</v>
      </c>
      <c r="E427" s="6" t="s">
        <v>46</v>
      </c>
      <c r="F427" s="17" t="s">
        <v>925</v>
      </c>
      <c r="G427" s="6" t="s">
        <v>134</v>
      </c>
      <c r="H427" s="19">
        <v>39000.0</v>
      </c>
      <c r="I427" s="10" t="s">
        <v>27</v>
      </c>
      <c r="J427" s="22">
        <v>75.0</v>
      </c>
      <c r="K427" s="22">
        <v>80.0</v>
      </c>
      <c r="L427" s="22">
        <v>1480.0</v>
      </c>
      <c r="M427" s="23">
        <v>0.6</v>
      </c>
      <c r="N427" s="24">
        <v>1.28</v>
      </c>
      <c r="O427" s="26" t="s">
        <v>30</v>
      </c>
      <c r="P427" s="26" t="s">
        <v>30</v>
      </c>
      <c r="Q427" s="27">
        <f t="shared" si="172"/>
        <v>19.73333333</v>
      </c>
      <c r="R427" s="23">
        <f t="shared" si="173"/>
        <v>0.1</v>
      </c>
      <c r="S427" s="27">
        <f t="shared" si="174"/>
        <v>21.70666667</v>
      </c>
      <c r="T427" s="6" t="s">
        <v>40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6.5" customHeight="1">
      <c r="A428" s="7" t="b">
        <v>0</v>
      </c>
      <c r="B428" s="6" t="s">
        <v>285</v>
      </c>
      <c r="C428" s="6" t="s">
        <v>923</v>
      </c>
      <c r="D428" s="6" t="s">
        <v>926</v>
      </c>
      <c r="E428" s="6" t="s">
        <v>43</v>
      </c>
      <c r="F428" s="25" t="s">
        <v>848</v>
      </c>
      <c r="G428" s="6" t="s">
        <v>134</v>
      </c>
      <c r="H428" s="19">
        <v>30000.0</v>
      </c>
      <c r="I428" s="10" t="s">
        <v>27</v>
      </c>
      <c r="J428" s="22">
        <v>215.0</v>
      </c>
      <c r="K428" s="22">
        <v>206.0</v>
      </c>
      <c r="L428" s="22">
        <v>2557.0</v>
      </c>
      <c r="M428" s="23">
        <v>0.61</v>
      </c>
      <c r="N428" s="24">
        <v>1.6</v>
      </c>
      <c r="O428" s="26" t="s">
        <v>30</v>
      </c>
      <c r="P428" s="26" t="s">
        <v>30</v>
      </c>
      <c r="Q428" s="27">
        <f t="shared" si="172"/>
        <v>11.89302326</v>
      </c>
      <c r="R428" s="23">
        <f t="shared" si="173"/>
        <v>0.11</v>
      </c>
      <c r="S428" s="27">
        <f t="shared" si="174"/>
        <v>13.20125581</v>
      </c>
      <c r="T428" s="6" t="s">
        <v>40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6.5" customHeight="1">
      <c r="A429" s="7" t="b">
        <v>0</v>
      </c>
      <c r="B429" s="5" t="s">
        <v>90</v>
      </c>
      <c r="C429" s="5" t="s">
        <v>923</v>
      </c>
      <c r="D429" s="5" t="s">
        <v>926</v>
      </c>
      <c r="E429" s="5" t="s">
        <v>189</v>
      </c>
      <c r="F429" s="25" t="s">
        <v>900</v>
      </c>
      <c r="G429" s="5" t="s">
        <v>134</v>
      </c>
      <c r="H429" s="9"/>
      <c r="I429" s="48"/>
      <c r="J429" s="9"/>
      <c r="K429" s="9"/>
      <c r="L429" s="9"/>
      <c r="M429" s="28"/>
      <c r="N429" s="29"/>
      <c r="O429" s="30"/>
      <c r="P429" s="30"/>
      <c r="Q429" s="16"/>
      <c r="R429" s="18"/>
      <c r="S429" s="16"/>
      <c r="T429" s="5" t="s">
        <v>34</v>
      </c>
      <c r="U429" s="21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6.5" customHeight="1">
      <c r="A430" s="7" t="b">
        <v>0</v>
      </c>
      <c r="B430" s="6" t="s">
        <v>130</v>
      </c>
      <c r="C430" s="6" t="s">
        <v>923</v>
      </c>
      <c r="D430" s="6" t="s">
        <v>927</v>
      </c>
      <c r="E430" s="6" t="s">
        <v>514</v>
      </c>
      <c r="F430" s="25" t="s">
        <v>928</v>
      </c>
      <c r="G430" s="6" t="s">
        <v>134</v>
      </c>
      <c r="H430" s="19">
        <v>220000.0</v>
      </c>
      <c r="I430" s="34" t="s">
        <v>62</v>
      </c>
      <c r="J430" s="22">
        <v>307.0</v>
      </c>
      <c r="K430" s="22">
        <v>516.0</v>
      </c>
      <c r="L430" s="22">
        <v>4299.0</v>
      </c>
      <c r="M430" s="23">
        <v>0.55</v>
      </c>
      <c r="N430" s="24">
        <v>2.99</v>
      </c>
      <c r="O430" s="26" t="s">
        <v>71</v>
      </c>
      <c r="P430" s="26" t="s">
        <v>30</v>
      </c>
      <c r="Q430" s="27">
        <f>L430/J430</f>
        <v>14.00325733</v>
      </c>
      <c r="R430" s="23">
        <f>0+((ABS(0.5-M430)*1))</f>
        <v>0.05</v>
      </c>
      <c r="S430" s="27">
        <f>Q430*(R430+1)</f>
        <v>14.7034202</v>
      </c>
      <c r="T430" s="6" t="s">
        <v>40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6.5" customHeight="1">
      <c r="A431" s="7" t="b">
        <v>0</v>
      </c>
      <c r="B431" s="5" t="s">
        <v>196</v>
      </c>
      <c r="C431" s="5" t="s">
        <v>923</v>
      </c>
      <c r="D431" s="51" t="s">
        <v>929</v>
      </c>
      <c r="E431" s="5" t="s">
        <v>514</v>
      </c>
      <c r="F431" s="25" t="s">
        <v>665</v>
      </c>
      <c r="G431" s="5" t="s">
        <v>134</v>
      </c>
      <c r="H431" s="9"/>
      <c r="I431" s="48"/>
      <c r="J431" s="9"/>
      <c r="K431" s="9"/>
      <c r="L431" s="9"/>
      <c r="M431" s="28"/>
      <c r="N431" s="29"/>
      <c r="O431" s="30"/>
      <c r="P431" s="30"/>
      <c r="Q431" s="16"/>
      <c r="R431" s="18"/>
      <c r="S431" s="16"/>
      <c r="T431" s="5" t="s">
        <v>103</v>
      </c>
      <c r="U431" s="21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6.5" customHeight="1">
      <c r="A432" s="7" t="b">
        <v>0</v>
      </c>
      <c r="B432" s="5" t="s">
        <v>268</v>
      </c>
      <c r="C432" s="5" t="s">
        <v>930</v>
      </c>
      <c r="D432" s="5" t="s">
        <v>931</v>
      </c>
      <c r="E432" s="5" t="s">
        <v>126</v>
      </c>
      <c r="F432" s="49" t="s">
        <v>932</v>
      </c>
      <c r="G432" s="5" t="s">
        <v>228</v>
      </c>
      <c r="H432" s="9">
        <v>90000.0</v>
      </c>
      <c r="I432" s="35" t="s">
        <v>678</v>
      </c>
      <c r="J432" s="9"/>
      <c r="K432" s="9"/>
      <c r="L432" s="9"/>
      <c r="M432" s="28"/>
      <c r="N432" s="29"/>
      <c r="O432" s="30"/>
      <c r="P432" s="30"/>
      <c r="Q432" s="16"/>
      <c r="R432" s="18"/>
      <c r="S432" s="16"/>
      <c r="T432" s="5" t="s">
        <v>256</v>
      </c>
      <c r="U432" s="21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6.5" customHeight="1">
      <c r="A433" s="7" t="b">
        <v>0</v>
      </c>
      <c r="B433" s="37" t="s">
        <v>104</v>
      </c>
      <c r="C433" s="37" t="s">
        <v>930</v>
      </c>
      <c r="D433" s="37" t="s">
        <v>933</v>
      </c>
      <c r="E433" s="37" t="s">
        <v>231</v>
      </c>
      <c r="F433" s="17" t="s">
        <v>934</v>
      </c>
      <c r="G433" s="37" t="s">
        <v>228</v>
      </c>
      <c r="H433" s="38">
        <v>100000.0</v>
      </c>
      <c r="I433" s="34" t="s">
        <v>62</v>
      </c>
      <c r="J433" s="39">
        <v>39.0</v>
      </c>
      <c r="K433" s="39">
        <v>38.0</v>
      </c>
      <c r="L433" s="39">
        <v>1400.0</v>
      </c>
      <c r="M433" s="40">
        <v>0.52</v>
      </c>
      <c r="N433" s="41">
        <v>0.66</v>
      </c>
      <c r="O433" s="42" t="s">
        <v>29</v>
      </c>
      <c r="P433" s="43" t="s">
        <v>30</v>
      </c>
      <c r="Q433" s="44">
        <f t="shared" ref="Q433:Q436" si="175">L433/J433</f>
        <v>35.8974359</v>
      </c>
      <c r="R433" s="45">
        <f t="shared" ref="R433:R436" si="176">0+((ABS(0.5-M433)*1))</f>
        <v>0.02</v>
      </c>
      <c r="S433" s="44">
        <f t="shared" ref="S433:S436" si="177">Q433*(R433+1)</f>
        <v>36.61538462</v>
      </c>
      <c r="T433" s="37" t="s">
        <v>88</v>
      </c>
      <c r="U433" s="37" t="s">
        <v>643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6.5" customHeight="1">
      <c r="A434" s="7" t="b">
        <v>0</v>
      </c>
      <c r="B434" s="6" t="s">
        <v>242</v>
      </c>
      <c r="C434" s="6" t="s">
        <v>930</v>
      </c>
      <c r="D434" s="6" t="s">
        <v>935</v>
      </c>
      <c r="E434" s="6" t="s">
        <v>148</v>
      </c>
      <c r="F434" s="8" t="s">
        <v>936</v>
      </c>
      <c r="G434" s="6" t="s">
        <v>228</v>
      </c>
      <c r="H434" s="19">
        <v>35000.0</v>
      </c>
      <c r="I434" s="20" t="s">
        <v>33</v>
      </c>
      <c r="J434" s="22">
        <v>210.0</v>
      </c>
      <c r="K434" s="22">
        <v>214.0</v>
      </c>
      <c r="L434" s="22">
        <v>3199.0</v>
      </c>
      <c r="M434" s="23">
        <v>0.59</v>
      </c>
      <c r="N434" s="24">
        <v>2.0</v>
      </c>
      <c r="O434" s="26" t="s">
        <v>71</v>
      </c>
      <c r="P434" s="26" t="s">
        <v>30</v>
      </c>
      <c r="Q434" s="27">
        <f t="shared" si="175"/>
        <v>15.23333333</v>
      </c>
      <c r="R434" s="23">
        <f t="shared" si="176"/>
        <v>0.09</v>
      </c>
      <c r="S434" s="27">
        <f t="shared" si="177"/>
        <v>16.60433333</v>
      </c>
      <c r="T434" s="6" t="s">
        <v>40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6.5" customHeight="1">
      <c r="A435" s="7" t="b">
        <v>0</v>
      </c>
      <c r="B435" s="6" t="s">
        <v>66</v>
      </c>
      <c r="C435" s="6" t="s">
        <v>930</v>
      </c>
      <c r="D435" s="6" t="s">
        <v>937</v>
      </c>
      <c r="E435" s="6" t="s">
        <v>215</v>
      </c>
      <c r="F435" s="8" t="s">
        <v>379</v>
      </c>
      <c r="G435" s="6" t="s">
        <v>228</v>
      </c>
      <c r="H435" s="19">
        <v>25000.0</v>
      </c>
      <c r="I435" s="10" t="s">
        <v>27</v>
      </c>
      <c r="J435" s="22">
        <v>237.0</v>
      </c>
      <c r="K435" s="22">
        <v>224.0</v>
      </c>
      <c r="L435" s="22">
        <v>2976.0</v>
      </c>
      <c r="M435" s="23">
        <v>0.58</v>
      </c>
      <c r="N435" s="24">
        <v>2.0</v>
      </c>
      <c r="O435" s="26" t="s">
        <v>71</v>
      </c>
      <c r="P435" s="26" t="s">
        <v>30</v>
      </c>
      <c r="Q435" s="27">
        <f t="shared" si="175"/>
        <v>12.55696203</v>
      </c>
      <c r="R435" s="23">
        <f t="shared" si="176"/>
        <v>0.08</v>
      </c>
      <c r="S435" s="27">
        <f t="shared" si="177"/>
        <v>13.56151899</v>
      </c>
      <c r="T435" s="6" t="s">
        <v>40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6.5" customHeight="1">
      <c r="A436" s="7" t="b">
        <v>0</v>
      </c>
      <c r="B436" s="6" t="s">
        <v>266</v>
      </c>
      <c r="C436" s="6" t="s">
        <v>930</v>
      </c>
      <c r="D436" s="6" t="s">
        <v>938</v>
      </c>
      <c r="E436" s="6" t="s">
        <v>148</v>
      </c>
      <c r="F436" s="8" t="s">
        <v>939</v>
      </c>
      <c r="G436" s="6" t="s">
        <v>228</v>
      </c>
      <c r="H436" s="19">
        <v>20000.0</v>
      </c>
      <c r="I436" s="20" t="s">
        <v>33</v>
      </c>
      <c r="J436" s="22">
        <v>320.0</v>
      </c>
      <c r="K436" s="22">
        <v>315.0</v>
      </c>
      <c r="L436" s="22">
        <v>3704.0</v>
      </c>
      <c r="M436" s="23">
        <v>0.61</v>
      </c>
      <c r="N436" s="24">
        <v>2.97</v>
      </c>
      <c r="O436" s="26" t="s">
        <v>71</v>
      </c>
      <c r="P436" s="26" t="s">
        <v>30</v>
      </c>
      <c r="Q436" s="27">
        <f t="shared" si="175"/>
        <v>11.575</v>
      </c>
      <c r="R436" s="23">
        <f t="shared" si="176"/>
        <v>0.11</v>
      </c>
      <c r="S436" s="27">
        <f t="shared" si="177"/>
        <v>12.84825</v>
      </c>
      <c r="T436" s="6" t="s">
        <v>40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6.5" customHeight="1">
      <c r="A437" s="7" t="b">
        <v>0</v>
      </c>
      <c r="B437" s="5" t="s">
        <v>242</v>
      </c>
      <c r="C437" s="5" t="s">
        <v>930</v>
      </c>
      <c r="D437" s="5" t="s">
        <v>940</v>
      </c>
      <c r="E437" s="5" t="s">
        <v>215</v>
      </c>
      <c r="F437" s="25" t="s">
        <v>941</v>
      </c>
      <c r="G437" s="5" t="s">
        <v>228</v>
      </c>
      <c r="H437" s="9">
        <v>29000.0</v>
      </c>
      <c r="I437" s="35" t="s">
        <v>255</v>
      </c>
      <c r="J437" s="9"/>
      <c r="K437" s="9"/>
      <c r="L437" s="9"/>
      <c r="M437" s="28"/>
      <c r="N437" s="29"/>
      <c r="O437" s="30"/>
      <c r="P437" s="30"/>
      <c r="Q437" s="16"/>
      <c r="R437" s="18"/>
      <c r="S437" s="16"/>
      <c r="T437" s="5" t="s">
        <v>256</v>
      </c>
      <c r="U437" s="21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6.5" customHeight="1">
      <c r="A438" s="7" t="b">
        <v>0</v>
      </c>
      <c r="B438" s="5" t="s">
        <v>191</v>
      </c>
      <c r="C438" s="5" t="s">
        <v>930</v>
      </c>
      <c r="D438" s="5" t="s">
        <v>942</v>
      </c>
      <c r="E438" s="5" t="s">
        <v>943</v>
      </c>
      <c r="F438" s="25" t="s">
        <v>944</v>
      </c>
      <c r="G438" s="5" t="s">
        <v>228</v>
      </c>
      <c r="H438" s="9">
        <v>250000.0</v>
      </c>
      <c r="I438" s="34" t="s">
        <v>62</v>
      </c>
      <c r="J438" s="9"/>
      <c r="K438" s="9"/>
      <c r="L438" s="9"/>
      <c r="M438" s="28"/>
      <c r="N438" s="29"/>
      <c r="O438" s="30"/>
      <c r="P438" s="30"/>
      <c r="Q438" s="16"/>
      <c r="R438" s="18"/>
      <c r="S438" s="16"/>
      <c r="T438" s="5" t="s">
        <v>34</v>
      </c>
      <c r="U438" s="21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6.5" customHeight="1">
      <c r="A439" s="7" t="b">
        <v>0</v>
      </c>
      <c r="B439" s="6" t="s">
        <v>54</v>
      </c>
      <c r="C439" s="6" t="s">
        <v>930</v>
      </c>
      <c r="D439" s="6" t="s">
        <v>945</v>
      </c>
      <c r="E439" s="6" t="s">
        <v>215</v>
      </c>
      <c r="F439" s="25" t="s">
        <v>946</v>
      </c>
      <c r="G439" s="6" t="s">
        <v>228</v>
      </c>
      <c r="H439" s="19">
        <v>70000.0</v>
      </c>
      <c r="I439" s="10" t="s">
        <v>27</v>
      </c>
      <c r="J439" s="22">
        <v>276.0</v>
      </c>
      <c r="K439" s="22">
        <v>275.0</v>
      </c>
      <c r="L439" s="22">
        <v>2822.0</v>
      </c>
      <c r="M439" s="23">
        <v>0.58</v>
      </c>
      <c r="N439" s="24">
        <v>2.0</v>
      </c>
      <c r="O439" s="26" t="s">
        <v>71</v>
      </c>
      <c r="P439" s="26" t="s">
        <v>30</v>
      </c>
      <c r="Q439" s="27">
        <f t="shared" ref="Q439:Q442" si="178">L439/J439</f>
        <v>10.22463768</v>
      </c>
      <c r="R439" s="23">
        <f t="shared" ref="R439:R442" si="179">0+((ABS(0.5-M439)*1))</f>
        <v>0.08</v>
      </c>
      <c r="S439" s="27">
        <f t="shared" ref="S439:S442" si="180">Q439*(R439+1)</f>
        <v>11.0426087</v>
      </c>
      <c r="T439" s="6" t="s">
        <v>72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6.5" customHeight="1">
      <c r="A440" s="7" t="b">
        <v>0</v>
      </c>
      <c r="B440" s="6" t="s">
        <v>648</v>
      </c>
      <c r="C440" s="6" t="s">
        <v>930</v>
      </c>
      <c r="D440" s="6" t="s">
        <v>947</v>
      </c>
      <c r="E440" s="6" t="s">
        <v>943</v>
      </c>
      <c r="F440" s="25" t="s">
        <v>785</v>
      </c>
      <c r="G440" s="6" t="s">
        <v>228</v>
      </c>
      <c r="H440" s="19">
        <v>30000.0</v>
      </c>
      <c r="I440" s="10" t="s">
        <v>27</v>
      </c>
      <c r="J440" s="22">
        <v>305.0</v>
      </c>
      <c r="K440" s="22">
        <v>315.0</v>
      </c>
      <c r="L440" s="22">
        <v>3109.0</v>
      </c>
      <c r="M440" s="23">
        <v>0.6</v>
      </c>
      <c r="N440" s="24">
        <v>2.0</v>
      </c>
      <c r="O440" s="26" t="s">
        <v>71</v>
      </c>
      <c r="P440" s="26" t="s">
        <v>30</v>
      </c>
      <c r="Q440" s="27">
        <f t="shared" si="178"/>
        <v>10.19344262</v>
      </c>
      <c r="R440" s="23">
        <f t="shared" si="179"/>
        <v>0.1</v>
      </c>
      <c r="S440" s="27">
        <f t="shared" si="180"/>
        <v>11.21278689</v>
      </c>
      <c r="T440" s="6" t="s">
        <v>40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6.5" customHeight="1">
      <c r="A441" s="7" t="b">
        <v>0</v>
      </c>
      <c r="B441" s="37" t="s">
        <v>648</v>
      </c>
      <c r="C441" s="37" t="s">
        <v>930</v>
      </c>
      <c r="D441" s="37" t="s">
        <v>948</v>
      </c>
      <c r="E441" s="37" t="s">
        <v>943</v>
      </c>
      <c r="F441" s="36" t="s">
        <v>262</v>
      </c>
      <c r="G441" s="37" t="s">
        <v>228</v>
      </c>
      <c r="H441" s="38">
        <v>100000.0</v>
      </c>
      <c r="I441" s="35" t="s">
        <v>76</v>
      </c>
      <c r="J441" s="39">
        <v>331.0</v>
      </c>
      <c r="K441" s="39">
        <v>352.0</v>
      </c>
      <c r="L441" s="39">
        <v>2833.0</v>
      </c>
      <c r="M441" s="40">
        <v>0.6</v>
      </c>
      <c r="N441" s="41">
        <v>2.0</v>
      </c>
      <c r="O441" s="42" t="s">
        <v>71</v>
      </c>
      <c r="P441" s="43" t="s">
        <v>30</v>
      </c>
      <c r="Q441" s="44">
        <f t="shared" si="178"/>
        <v>8.558912387</v>
      </c>
      <c r="R441" s="45">
        <f t="shared" si="179"/>
        <v>0.1</v>
      </c>
      <c r="S441" s="44">
        <f t="shared" si="180"/>
        <v>9.414803625</v>
      </c>
      <c r="T441" s="37" t="s">
        <v>88</v>
      </c>
      <c r="U441" s="37" t="s">
        <v>278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6.5" customHeight="1">
      <c r="A442" s="7" t="b">
        <v>0</v>
      </c>
      <c r="B442" s="6" t="s">
        <v>270</v>
      </c>
      <c r="C442" s="6" t="s">
        <v>930</v>
      </c>
      <c r="D442" s="6" t="s">
        <v>949</v>
      </c>
      <c r="E442" s="6" t="s">
        <v>943</v>
      </c>
      <c r="F442" s="25" t="s">
        <v>950</v>
      </c>
      <c r="G442" s="6" t="s">
        <v>228</v>
      </c>
      <c r="H442" s="19">
        <v>25000.0</v>
      </c>
      <c r="I442" s="10" t="s">
        <v>27</v>
      </c>
      <c r="J442" s="22">
        <v>305.0</v>
      </c>
      <c r="K442" s="22">
        <v>315.0</v>
      </c>
      <c r="L442" s="22">
        <v>3395.0</v>
      </c>
      <c r="M442" s="23">
        <v>0.6</v>
      </c>
      <c r="N442" s="24">
        <v>2.0</v>
      </c>
      <c r="O442" s="26" t="s">
        <v>71</v>
      </c>
      <c r="P442" s="26" t="s">
        <v>30</v>
      </c>
      <c r="Q442" s="27">
        <f t="shared" si="178"/>
        <v>11.13114754</v>
      </c>
      <c r="R442" s="23">
        <f t="shared" si="179"/>
        <v>0.1</v>
      </c>
      <c r="S442" s="27">
        <f t="shared" si="180"/>
        <v>12.2442623</v>
      </c>
      <c r="T442" s="6" t="s">
        <v>40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6.5" customHeight="1">
      <c r="A443" s="7" t="b">
        <v>0</v>
      </c>
      <c r="B443" s="5" t="s">
        <v>266</v>
      </c>
      <c r="C443" s="5" t="s">
        <v>930</v>
      </c>
      <c r="D443" s="5" t="s">
        <v>951</v>
      </c>
      <c r="E443" s="5" t="s">
        <v>374</v>
      </c>
      <c r="F443" s="17" t="s">
        <v>952</v>
      </c>
      <c r="G443" s="5" t="s">
        <v>228</v>
      </c>
      <c r="H443" s="9">
        <v>50000.0</v>
      </c>
      <c r="I443" s="35" t="s">
        <v>678</v>
      </c>
      <c r="J443" s="9"/>
      <c r="K443" s="9"/>
      <c r="L443" s="9"/>
      <c r="M443" s="28"/>
      <c r="N443" s="29"/>
      <c r="O443" s="30"/>
      <c r="P443" s="30"/>
      <c r="Q443" s="16"/>
      <c r="R443" s="18"/>
      <c r="S443" s="16"/>
      <c r="T443" s="5" t="s">
        <v>256</v>
      </c>
      <c r="U443" s="21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6.5" customHeight="1">
      <c r="A444" s="7" t="b">
        <v>0</v>
      </c>
      <c r="B444" s="6" t="s">
        <v>242</v>
      </c>
      <c r="C444" s="6" t="s">
        <v>930</v>
      </c>
      <c r="D444" s="6" t="s">
        <v>953</v>
      </c>
      <c r="E444" s="6" t="s">
        <v>374</v>
      </c>
      <c r="F444" s="17" t="s">
        <v>954</v>
      </c>
      <c r="G444" s="6" t="s">
        <v>228</v>
      </c>
      <c r="H444" s="19">
        <v>25000.0</v>
      </c>
      <c r="I444" s="10" t="s">
        <v>27</v>
      </c>
      <c r="J444" s="22">
        <v>123.0</v>
      </c>
      <c r="K444" s="22">
        <v>215.0</v>
      </c>
      <c r="L444" s="22">
        <v>4696.0</v>
      </c>
      <c r="M444" s="23">
        <v>0.57</v>
      </c>
      <c r="N444" s="24">
        <v>2.84</v>
      </c>
      <c r="O444" s="26" t="s">
        <v>71</v>
      </c>
      <c r="P444" s="26" t="s">
        <v>30</v>
      </c>
      <c r="Q444" s="27">
        <f>L444/J444</f>
        <v>38.17886179</v>
      </c>
      <c r="R444" s="23">
        <f>0+((ABS(0.5-M444)*1))</f>
        <v>0.07</v>
      </c>
      <c r="S444" s="27">
        <f>Q444*(R444+1)</f>
        <v>40.85138211</v>
      </c>
      <c r="T444" s="6" t="s">
        <v>40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6.5" customHeight="1">
      <c r="A445" s="7" t="b">
        <v>0</v>
      </c>
      <c r="B445" s="5" t="s">
        <v>263</v>
      </c>
      <c r="C445" s="5" t="s">
        <v>930</v>
      </c>
      <c r="D445" s="5" t="s">
        <v>955</v>
      </c>
      <c r="E445" s="5" t="s">
        <v>148</v>
      </c>
      <c r="F445" s="8" t="s">
        <v>620</v>
      </c>
      <c r="G445" s="5" t="s">
        <v>228</v>
      </c>
      <c r="H445" s="9"/>
      <c r="I445" s="19"/>
      <c r="J445" s="9"/>
      <c r="K445" s="9"/>
      <c r="L445" s="9"/>
      <c r="M445" s="28"/>
      <c r="N445" s="29"/>
      <c r="O445" s="30"/>
      <c r="P445" s="30"/>
      <c r="Q445" s="16"/>
      <c r="R445" s="18"/>
      <c r="S445" s="16"/>
      <c r="T445" s="5" t="s">
        <v>34</v>
      </c>
      <c r="U445" s="21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6.5" customHeight="1">
      <c r="A446" s="7" t="b">
        <v>0</v>
      </c>
      <c r="B446" s="5" t="s">
        <v>956</v>
      </c>
      <c r="C446" s="5" t="s">
        <v>957</v>
      </c>
      <c r="D446" s="5" t="s">
        <v>958</v>
      </c>
      <c r="E446" s="5" t="s">
        <v>106</v>
      </c>
      <c r="F446" s="50" t="s">
        <v>959</v>
      </c>
      <c r="G446" s="5" t="s">
        <v>228</v>
      </c>
      <c r="H446" s="9"/>
      <c r="I446" s="48"/>
      <c r="J446" s="9"/>
      <c r="K446" s="9"/>
      <c r="L446" s="9"/>
      <c r="M446" s="28"/>
      <c r="N446" s="29"/>
      <c r="O446" s="30"/>
      <c r="P446" s="30"/>
      <c r="Q446" s="16"/>
      <c r="R446" s="18"/>
      <c r="S446" s="16"/>
      <c r="T446" s="5" t="s">
        <v>256</v>
      </c>
      <c r="U446" s="21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6.5" customHeight="1">
      <c r="A447" s="7" t="b">
        <v>0</v>
      </c>
      <c r="B447" s="37" t="s">
        <v>104</v>
      </c>
      <c r="C447" s="37" t="s">
        <v>957</v>
      </c>
      <c r="D447" s="37" t="s">
        <v>960</v>
      </c>
      <c r="E447" s="37" t="s">
        <v>106</v>
      </c>
      <c r="F447" s="50" t="s">
        <v>961</v>
      </c>
      <c r="G447" s="37" t="s">
        <v>228</v>
      </c>
      <c r="H447" s="38">
        <v>1500000.0</v>
      </c>
      <c r="I447" s="35" t="s">
        <v>76</v>
      </c>
      <c r="J447" s="39">
        <v>641.0</v>
      </c>
      <c r="K447" s="39">
        <v>492.0</v>
      </c>
      <c r="L447" s="39">
        <v>2780.0</v>
      </c>
      <c r="M447" s="40">
        <v>0.6</v>
      </c>
      <c r="N447" s="41">
        <v>2.57</v>
      </c>
      <c r="O447" s="42" t="s">
        <v>71</v>
      </c>
      <c r="P447" s="43" t="s">
        <v>30</v>
      </c>
      <c r="Q447" s="44">
        <f>L447/J447</f>
        <v>4.336973479</v>
      </c>
      <c r="R447" s="45">
        <f>0+((ABS(0.5-M447)*1))</f>
        <v>0.1</v>
      </c>
      <c r="S447" s="44">
        <f>Q447*(R447+1)</f>
        <v>4.770670827</v>
      </c>
      <c r="T447" s="37" t="s">
        <v>88</v>
      </c>
      <c r="U447" s="37" t="s">
        <v>89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6.5" customHeight="1">
      <c r="A448" s="7" t="b">
        <v>0</v>
      </c>
      <c r="B448" s="5" t="s">
        <v>903</v>
      </c>
      <c r="C448" s="5" t="s">
        <v>957</v>
      </c>
      <c r="D448" s="51" t="s">
        <v>962</v>
      </c>
      <c r="E448" s="5" t="s">
        <v>106</v>
      </c>
      <c r="F448" s="50" t="s">
        <v>871</v>
      </c>
      <c r="G448" s="5" t="s">
        <v>228</v>
      </c>
      <c r="H448" s="9">
        <v>600000.0</v>
      </c>
      <c r="I448" s="35" t="s">
        <v>678</v>
      </c>
      <c r="J448" s="9"/>
      <c r="K448" s="9"/>
      <c r="L448" s="9"/>
      <c r="M448" s="28"/>
      <c r="N448" s="29"/>
      <c r="O448" s="30"/>
      <c r="P448" s="30"/>
      <c r="Q448" s="16"/>
      <c r="R448" s="18"/>
      <c r="S448" s="16"/>
      <c r="T448" s="5" t="s">
        <v>256</v>
      </c>
      <c r="U448" s="21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6.5" customHeight="1">
      <c r="A449" s="7" t="b">
        <v>0</v>
      </c>
      <c r="B449" s="37" t="s">
        <v>223</v>
      </c>
      <c r="C449" s="37" t="s">
        <v>957</v>
      </c>
      <c r="D449" s="37" t="s">
        <v>963</v>
      </c>
      <c r="E449" s="37" t="s">
        <v>126</v>
      </c>
      <c r="F449" s="49" t="s">
        <v>964</v>
      </c>
      <c r="G449" s="37" t="s">
        <v>228</v>
      </c>
      <c r="H449" s="38">
        <v>570000.0</v>
      </c>
      <c r="I449" s="34" t="s">
        <v>62</v>
      </c>
      <c r="J449" s="39">
        <v>1000.0</v>
      </c>
      <c r="K449" s="39">
        <v>543.0</v>
      </c>
      <c r="L449" s="39">
        <v>3197.0</v>
      </c>
      <c r="M449" s="40">
        <v>0.55</v>
      </c>
      <c r="N449" s="41">
        <v>2.83</v>
      </c>
      <c r="O449" s="42" t="s">
        <v>71</v>
      </c>
      <c r="P449" s="43" t="s">
        <v>30</v>
      </c>
      <c r="Q449" s="44">
        <f t="shared" ref="Q449:Q450" si="181">L449/J449</f>
        <v>3.197</v>
      </c>
      <c r="R449" s="45">
        <f t="shared" ref="R449:R450" si="182">0+((ABS(0.5-M449)*1))</f>
        <v>0.05</v>
      </c>
      <c r="S449" s="44">
        <f t="shared" ref="S449:S450" si="183">Q449*(R449+1)</f>
        <v>3.35685</v>
      </c>
      <c r="T449" s="37" t="s">
        <v>88</v>
      </c>
      <c r="U449" s="37" t="s">
        <v>643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6.5" customHeight="1">
      <c r="A450" s="7" t="b">
        <v>0</v>
      </c>
      <c r="B450" s="37" t="s">
        <v>567</v>
      </c>
      <c r="C450" s="37" t="s">
        <v>957</v>
      </c>
      <c r="D450" s="37" t="s">
        <v>965</v>
      </c>
      <c r="E450" s="37" t="s">
        <v>126</v>
      </c>
      <c r="F450" s="49" t="s">
        <v>966</v>
      </c>
      <c r="G450" s="37" t="s">
        <v>228</v>
      </c>
      <c r="H450" s="38">
        <v>400000.0</v>
      </c>
      <c r="I450" s="34" t="s">
        <v>62</v>
      </c>
      <c r="J450" s="39">
        <v>1051.0</v>
      </c>
      <c r="K450" s="39">
        <v>750.0</v>
      </c>
      <c r="L450" s="39">
        <v>2323.0</v>
      </c>
      <c r="M450" s="40">
        <v>0.48</v>
      </c>
      <c r="N450" s="41">
        <v>2.16</v>
      </c>
      <c r="O450" s="42" t="s">
        <v>29</v>
      </c>
      <c r="P450" s="43" t="s">
        <v>30</v>
      </c>
      <c r="Q450" s="44">
        <f t="shared" si="181"/>
        <v>2.210275928</v>
      </c>
      <c r="R450" s="45">
        <f t="shared" si="182"/>
        <v>0.02</v>
      </c>
      <c r="S450" s="44">
        <f t="shared" si="183"/>
        <v>2.254481446</v>
      </c>
      <c r="T450" s="37" t="s">
        <v>88</v>
      </c>
      <c r="U450" s="37" t="s">
        <v>643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6.5" customHeight="1">
      <c r="A451" s="7" t="b">
        <v>0</v>
      </c>
      <c r="B451" s="5" t="s">
        <v>223</v>
      </c>
      <c r="C451" s="5" t="s">
        <v>957</v>
      </c>
      <c r="D451" s="5" t="s">
        <v>967</v>
      </c>
      <c r="E451" s="5" t="s">
        <v>148</v>
      </c>
      <c r="F451" s="17" t="s">
        <v>968</v>
      </c>
      <c r="G451" s="5" t="s">
        <v>228</v>
      </c>
      <c r="H451" s="9"/>
      <c r="I451" s="48"/>
      <c r="J451" s="9"/>
      <c r="K451" s="9"/>
      <c r="L451" s="9"/>
      <c r="M451" s="28"/>
      <c r="N451" s="29"/>
      <c r="O451" s="30"/>
      <c r="P451" s="30"/>
      <c r="Q451" s="16"/>
      <c r="R451" s="18"/>
      <c r="S451" s="16"/>
      <c r="T451" s="5" t="s">
        <v>129</v>
      </c>
      <c r="U451" s="21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6.5" customHeight="1">
      <c r="A452" s="7" t="b">
        <v>0</v>
      </c>
      <c r="B452" s="5" t="s">
        <v>217</v>
      </c>
      <c r="C452" s="5" t="s">
        <v>957</v>
      </c>
      <c r="D452" s="5" t="s">
        <v>969</v>
      </c>
      <c r="E452" s="5" t="s">
        <v>24</v>
      </c>
      <c r="F452" s="25" t="s">
        <v>317</v>
      </c>
      <c r="G452" s="5" t="s">
        <v>228</v>
      </c>
      <c r="H452" s="9">
        <v>250000.0</v>
      </c>
      <c r="I452" s="20" t="s">
        <v>33</v>
      </c>
      <c r="J452" s="9"/>
      <c r="K452" s="9"/>
      <c r="L452" s="9"/>
      <c r="M452" s="28"/>
      <c r="N452" s="29"/>
      <c r="O452" s="30"/>
      <c r="P452" s="30"/>
      <c r="Q452" s="16"/>
      <c r="R452" s="18"/>
      <c r="S452" s="16"/>
      <c r="T452" s="5" t="s">
        <v>34</v>
      </c>
      <c r="U452" s="21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6.5" customHeight="1">
      <c r="A453" s="7" t="b">
        <v>0</v>
      </c>
      <c r="B453" s="6" t="s">
        <v>123</v>
      </c>
      <c r="C453" s="6" t="s">
        <v>957</v>
      </c>
      <c r="D453" s="6" t="s">
        <v>970</v>
      </c>
      <c r="E453" s="6" t="s">
        <v>24</v>
      </c>
      <c r="F453" s="36" t="s">
        <v>971</v>
      </c>
      <c r="G453" s="6" t="s">
        <v>228</v>
      </c>
      <c r="H453" s="19">
        <v>46000.0</v>
      </c>
      <c r="I453" s="10" t="s">
        <v>27</v>
      </c>
      <c r="J453" s="22">
        <v>350.0</v>
      </c>
      <c r="K453" s="22">
        <v>276.0</v>
      </c>
      <c r="L453" s="22">
        <v>3389.0</v>
      </c>
      <c r="M453" s="23">
        <v>0.54</v>
      </c>
      <c r="N453" s="24">
        <v>3.7</v>
      </c>
      <c r="O453" s="26" t="s">
        <v>29</v>
      </c>
      <c r="P453" s="26" t="s">
        <v>30</v>
      </c>
      <c r="Q453" s="27">
        <f>L453/J453</f>
        <v>9.682857143</v>
      </c>
      <c r="R453" s="23">
        <f>0+((ABS(0.5-M453)*1))</f>
        <v>0.04</v>
      </c>
      <c r="S453" s="27">
        <f>Q453*(R453+1)</f>
        <v>10.07017143</v>
      </c>
      <c r="T453" s="6" t="s">
        <v>40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6.5" customHeight="1">
      <c r="A454" s="7" t="b">
        <v>0</v>
      </c>
      <c r="B454" s="5" t="s">
        <v>299</v>
      </c>
      <c r="C454" s="5" t="s">
        <v>957</v>
      </c>
      <c r="D454" s="5" t="s">
        <v>972</v>
      </c>
      <c r="E454" s="5" t="s">
        <v>226</v>
      </c>
      <c r="F454" s="17" t="s">
        <v>973</v>
      </c>
      <c r="G454" s="5" t="s">
        <v>228</v>
      </c>
      <c r="H454" s="9">
        <v>23000.0</v>
      </c>
      <c r="I454" s="34" t="s">
        <v>62</v>
      </c>
      <c r="J454" s="9"/>
      <c r="K454" s="9"/>
      <c r="L454" s="9"/>
      <c r="M454" s="28"/>
      <c r="N454" s="29"/>
      <c r="O454" s="30"/>
      <c r="P454" s="30"/>
      <c r="Q454" s="16"/>
      <c r="R454" s="18"/>
      <c r="S454" s="16"/>
      <c r="T454" s="5" t="s">
        <v>34</v>
      </c>
      <c r="U454" s="21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6.5" customHeight="1">
      <c r="A455" s="7" t="b">
        <v>0</v>
      </c>
      <c r="B455" s="6" t="s">
        <v>146</v>
      </c>
      <c r="C455" s="6" t="s">
        <v>957</v>
      </c>
      <c r="D455" s="6" t="s">
        <v>974</v>
      </c>
      <c r="E455" s="6" t="s">
        <v>148</v>
      </c>
      <c r="F455" s="25" t="s">
        <v>950</v>
      </c>
      <c r="G455" s="6" t="s">
        <v>228</v>
      </c>
      <c r="H455" s="19">
        <v>18000.0</v>
      </c>
      <c r="I455" s="20" t="s">
        <v>33</v>
      </c>
      <c r="J455" s="22">
        <v>287.0</v>
      </c>
      <c r="K455" s="22">
        <v>273.0</v>
      </c>
      <c r="L455" s="22">
        <v>3310.0</v>
      </c>
      <c r="M455" s="23">
        <v>0.53</v>
      </c>
      <c r="N455" s="24">
        <v>3.5</v>
      </c>
      <c r="O455" s="26" t="s">
        <v>29</v>
      </c>
      <c r="P455" s="26" t="s">
        <v>30</v>
      </c>
      <c r="Q455" s="27">
        <f t="shared" ref="Q455:Q457" si="184">L455/J455</f>
        <v>11.53310105</v>
      </c>
      <c r="R455" s="23">
        <f t="shared" ref="R455:R457" si="185">0+((ABS(0.5-M455)*1))</f>
        <v>0.03</v>
      </c>
      <c r="S455" s="27">
        <f t="shared" ref="S455:S457" si="186">Q455*(R455+1)</f>
        <v>11.87909408</v>
      </c>
      <c r="T455" s="6" t="s">
        <v>40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6.5" customHeight="1">
      <c r="A456" s="7" t="b">
        <v>0</v>
      </c>
      <c r="B456" s="6" t="s">
        <v>329</v>
      </c>
      <c r="C456" s="6" t="s">
        <v>957</v>
      </c>
      <c r="D456" s="6" t="s">
        <v>975</v>
      </c>
      <c r="E456" s="6" t="s">
        <v>221</v>
      </c>
      <c r="F456" s="17" t="s">
        <v>976</v>
      </c>
      <c r="G456" s="6" t="s">
        <v>228</v>
      </c>
      <c r="H456" s="19">
        <v>250000.0</v>
      </c>
      <c r="I456" s="34" t="s">
        <v>62</v>
      </c>
      <c r="J456" s="22">
        <v>160.0</v>
      </c>
      <c r="K456" s="22">
        <v>133.0</v>
      </c>
      <c r="L456" s="22">
        <v>2308.0</v>
      </c>
      <c r="M456" s="23">
        <v>0.51</v>
      </c>
      <c r="N456" s="24">
        <v>1.99</v>
      </c>
      <c r="O456" s="26" t="s">
        <v>29</v>
      </c>
      <c r="P456" s="26" t="s">
        <v>30</v>
      </c>
      <c r="Q456" s="27">
        <f t="shared" si="184"/>
        <v>14.425</v>
      </c>
      <c r="R456" s="23">
        <f t="shared" si="185"/>
        <v>0.01</v>
      </c>
      <c r="S456" s="27">
        <f t="shared" si="186"/>
        <v>14.56925</v>
      </c>
      <c r="T456" s="6" t="s">
        <v>40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6.5" customHeight="1">
      <c r="A457" s="7" t="b">
        <v>0</v>
      </c>
      <c r="B457" s="6" t="s">
        <v>473</v>
      </c>
      <c r="C457" s="6" t="s">
        <v>957</v>
      </c>
      <c r="D457" s="6" t="s">
        <v>977</v>
      </c>
      <c r="E457" s="6" t="s">
        <v>148</v>
      </c>
      <c r="F457" s="8" t="s">
        <v>360</v>
      </c>
      <c r="G457" s="6" t="s">
        <v>228</v>
      </c>
      <c r="H457" s="19">
        <v>40000.0</v>
      </c>
      <c r="I457" s="34" t="s">
        <v>62</v>
      </c>
      <c r="J457" s="22">
        <v>276.0</v>
      </c>
      <c r="K457" s="22">
        <v>283.0</v>
      </c>
      <c r="L457" s="22">
        <v>3351.0</v>
      </c>
      <c r="M457" s="23">
        <v>0.54</v>
      </c>
      <c r="N457" s="24">
        <v>2.96</v>
      </c>
      <c r="O457" s="26" t="s">
        <v>29</v>
      </c>
      <c r="P457" s="26" t="s">
        <v>30</v>
      </c>
      <c r="Q457" s="27">
        <f t="shared" si="184"/>
        <v>12.14130435</v>
      </c>
      <c r="R457" s="23">
        <f t="shared" si="185"/>
        <v>0.04</v>
      </c>
      <c r="S457" s="27">
        <f t="shared" si="186"/>
        <v>12.62695652</v>
      </c>
      <c r="T457" s="6" t="s">
        <v>72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6.5" customHeight="1">
      <c r="A458" s="7" t="b">
        <v>0</v>
      </c>
      <c r="B458" s="5" t="s">
        <v>618</v>
      </c>
      <c r="C458" s="5" t="s">
        <v>957</v>
      </c>
      <c r="D458" s="5" t="s">
        <v>978</v>
      </c>
      <c r="E458" s="5" t="s">
        <v>226</v>
      </c>
      <c r="F458" s="17" t="s">
        <v>979</v>
      </c>
      <c r="G458" s="5" t="s">
        <v>228</v>
      </c>
      <c r="H458" s="9">
        <v>40000.0</v>
      </c>
      <c r="I458" s="35" t="s">
        <v>255</v>
      </c>
      <c r="J458" s="9"/>
      <c r="K458" s="9"/>
      <c r="L458" s="9"/>
      <c r="M458" s="28"/>
      <c r="N458" s="29"/>
      <c r="O458" s="30"/>
      <c r="P458" s="30"/>
      <c r="Q458" s="16"/>
      <c r="R458" s="18"/>
      <c r="S458" s="16"/>
      <c r="T458" s="5" t="s">
        <v>256</v>
      </c>
      <c r="U458" s="21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6.5" customHeight="1">
      <c r="A459" s="7" t="b">
        <v>0</v>
      </c>
      <c r="B459" s="6" t="s">
        <v>242</v>
      </c>
      <c r="C459" s="6" t="s">
        <v>957</v>
      </c>
      <c r="D459" s="6" t="s">
        <v>980</v>
      </c>
      <c r="E459" s="6" t="s">
        <v>69</v>
      </c>
      <c r="F459" s="8" t="s">
        <v>981</v>
      </c>
      <c r="G459" s="6" t="s">
        <v>228</v>
      </c>
      <c r="H459" s="19">
        <v>15000.0</v>
      </c>
      <c r="I459" s="10" t="s">
        <v>27</v>
      </c>
      <c r="J459" s="22">
        <v>267.0</v>
      </c>
      <c r="K459" s="22">
        <v>271.0</v>
      </c>
      <c r="L459" s="22">
        <v>3505.0</v>
      </c>
      <c r="M459" s="23">
        <v>0.54</v>
      </c>
      <c r="N459" s="24">
        <v>2.99</v>
      </c>
      <c r="O459" s="26" t="s">
        <v>29</v>
      </c>
      <c r="P459" s="26" t="s">
        <v>30</v>
      </c>
      <c r="Q459" s="27">
        <f t="shared" ref="Q459:Q461" si="187">L459/J459</f>
        <v>13.12734082</v>
      </c>
      <c r="R459" s="23">
        <f t="shared" ref="R459:R461" si="188">0+((ABS(0.5-M459)*1))</f>
        <v>0.04</v>
      </c>
      <c r="S459" s="27">
        <f t="shared" ref="S459:S461" si="189">Q459*(R459+1)</f>
        <v>13.65243446</v>
      </c>
      <c r="T459" s="6" t="s">
        <v>40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6.5" customHeight="1">
      <c r="A460" s="7" t="b">
        <v>0</v>
      </c>
      <c r="B460" s="6" t="s">
        <v>21</v>
      </c>
      <c r="C460" s="6" t="s">
        <v>957</v>
      </c>
      <c r="D460" s="6" t="s">
        <v>982</v>
      </c>
      <c r="E460" s="6" t="s">
        <v>60</v>
      </c>
      <c r="F460" s="32" t="s">
        <v>808</v>
      </c>
      <c r="G460" s="6" t="s">
        <v>228</v>
      </c>
      <c r="H460" s="19">
        <v>115000.0</v>
      </c>
      <c r="I460" s="10" t="s">
        <v>27</v>
      </c>
      <c r="J460" s="22">
        <v>565.0</v>
      </c>
      <c r="K460" s="22">
        <v>467.0</v>
      </c>
      <c r="L460" s="22">
        <v>3933.0</v>
      </c>
      <c r="M460" s="23">
        <v>0.54</v>
      </c>
      <c r="N460" s="24">
        <v>3.8</v>
      </c>
      <c r="O460" s="26" t="s">
        <v>71</v>
      </c>
      <c r="P460" s="26" t="s">
        <v>30</v>
      </c>
      <c r="Q460" s="27">
        <f t="shared" si="187"/>
        <v>6.961061947</v>
      </c>
      <c r="R460" s="23">
        <f t="shared" si="188"/>
        <v>0.04</v>
      </c>
      <c r="S460" s="27">
        <f t="shared" si="189"/>
        <v>7.239504425</v>
      </c>
      <c r="T460" s="6" t="s">
        <v>40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6.5" customHeight="1">
      <c r="A461" s="7" t="b">
        <v>0</v>
      </c>
      <c r="B461" s="6" t="s">
        <v>285</v>
      </c>
      <c r="C461" s="6" t="s">
        <v>957</v>
      </c>
      <c r="D461" s="6" t="s">
        <v>983</v>
      </c>
      <c r="E461" s="6" t="s">
        <v>60</v>
      </c>
      <c r="F461" s="32" t="s">
        <v>984</v>
      </c>
      <c r="G461" s="6" t="s">
        <v>228</v>
      </c>
      <c r="H461" s="19">
        <v>80000.0</v>
      </c>
      <c r="I461" s="10" t="s">
        <v>27</v>
      </c>
      <c r="J461" s="22">
        <v>542.0</v>
      </c>
      <c r="K461" s="22">
        <v>466.0</v>
      </c>
      <c r="L461" s="22">
        <v>3887.0</v>
      </c>
      <c r="M461" s="23">
        <v>0.55</v>
      </c>
      <c r="N461" s="24">
        <v>3.8</v>
      </c>
      <c r="O461" s="26" t="s">
        <v>71</v>
      </c>
      <c r="P461" s="26" t="s">
        <v>30</v>
      </c>
      <c r="Q461" s="27">
        <f t="shared" si="187"/>
        <v>7.171586716</v>
      </c>
      <c r="R461" s="23">
        <f t="shared" si="188"/>
        <v>0.05</v>
      </c>
      <c r="S461" s="27">
        <f t="shared" si="189"/>
        <v>7.530166052</v>
      </c>
      <c r="T461" s="6" t="s">
        <v>40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6.5" customHeight="1">
      <c r="A462" s="7" t="b">
        <v>0</v>
      </c>
      <c r="B462" s="5" t="s">
        <v>285</v>
      </c>
      <c r="C462" s="5" t="s">
        <v>957</v>
      </c>
      <c r="D462" s="51" t="s">
        <v>985</v>
      </c>
      <c r="E462" s="5" t="s">
        <v>126</v>
      </c>
      <c r="F462" s="50" t="s">
        <v>541</v>
      </c>
      <c r="G462" s="5" t="s">
        <v>228</v>
      </c>
      <c r="H462" s="9">
        <v>750000.0</v>
      </c>
      <c r="I462" s="53" t="s">
        <v>430</v>
      </c>
      <c r="J462" s="9"/>
      <c r="K462" s="9"/>
      <c r="L462" s="9"/>
      <c r="M462" s="28"/>
      <c r="N462" s="29"/>
      <c r="O462" s="30"/>
      <c r="P462" s="30"/>
      <c r="Q462" s="16"/>
      <c r="R462" s="18"/>
      <c r="S462" s="16"/>
      <c r="T462" s="5" t="s">
        <v>129</v>
      </c>
      <c r="U462" s="21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6.5" customHeight="1">
      <c r="A463" s="7" t="b">
        <v>0</v>
      </c>
      <c r="B463" s="6" t="s">
        <v>180</v>
      </c>
      <c r="C463" s="6" t="s">
        <v>957</v>
      </c>
      <c r="D463" s="6" t="s">
        <v>986</v>
      </c>
      <c r="E463" s="6" t="s">
        <v>231</v>
      </c>
      <c r="F463" s="32" t="s">
        <v>151</v>
      </c>
      <c r="G463" s="6" t="s">
        <v>228</v>
      </c>
      <c r="H463" s="19">
        <v>270000.0</v>
      </c>
      <c r="I463" s="34" t="s">
        <v>62</v>
      </c>
      <c r="J463" s="22">
        <v>600.0</v>
      </c>
      <c r="K463" s="22">
        <v>481.0</v>
      </c>
      <c r="L463" s="22">
        <v>3867.0</v>
      </c>
      <c r="M463" s="23">
        <v>0.54</v>
      </c>
      <c r="N463" s="24">
        <v>3.8</v>
      </c>
      <c r="O463" s="26" t="s">
        <v>71</v>
      </c>
      <c r="P463" s="26" t="s">
        <v>30</v>
      </c>
      <c r="Q463" s="27">
        <f t="shared" ref="Q463:Q465" si="190">L463/J463</f>
        <v>6.445</v>
      </c>
      <c r="R463" s="23">
        <f t="shared" ref="R463:R465" si="191">0+((ABS(0.5-M463)*1))</f>
        <v>0.04</v>
      </c>
      <c r="S463" s="27">
        <f t="shared" ref="S463:S465" si="192">Q463*(R463+1)</f>
        <v>6.7028</v>
      </c>
      <c r="T463" s="6" t="s">
        <v>40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6.5" customHeight="1">
      <c r="A464" s="7" t="b">
        <v>0</v>
      </c>
      <c r="B464" s="6" t="s">
        <v>292</v>
      </c>
      <c r="C464" s="6" t="s">
        <v>957</v>
      </c>
      <c r="D464" s="6" t="s">
        <v>986</v>
      </c>
      <c r="E464" s="6" t="s">
        <v>231</v>
      </c>
      <c r="F464" s="32" t="s">
        <v>987</v>
      </c>
      <c r="G464" s="6" t="s">
        <v>228</v>
      </c>
      <c r="H464" s="19">
        <v>220000.0</v>
      </c>
      <c r="I464" s="34" t="s">
        <v>62</v>
      </c>
      <c r="J464" s="22">
        <v>600.0</v>
      </c>
      <c r="K464" s="22">
        <v>481.0</v>
      </c>
      <c r="L464" s="22">
        <v>3867.0</v>
      </c>
      <c r="M464" s="23">
        <v>0.54</v>
      </c>
      <c r="N464" s="24">
        <v>3.8</v>
      </c>
      <c r="O464" s="26" t="s">
        <v>71</v>
      </c>
      <c r="P464" s="26" t="s">
        <v>30</v>
      </c>
      <c r="Q464" s="27">
        <f t="shared" si="190"/>
        <v>6.445</v>
      </c>
      <c r="R464" s="23">
        <f t="shared" si="191"/>
        <v>0.04</v>
      </c>
      <c r="S464" s="27">
        <f t="shared" si="192"/>
        <v>6.7028</v>
      </c>
      <c r="T464" s="6" t="s">
        <v>122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6.5" customHeight="1">
      <c r="A465" s="7" t="b">
        <v>0</v>
      </c>
      <c r="B465" s="6" t="s">
        <v>242</v>
      </c>
      <c r="C465" s="6" t="s">
        <v>957</v>
      </c>
      <c r="D465" s="6" t="s">
        <v>988</v>
      </c>
      <c r="E465" s="6" t="s">
        <v>148</v>
      </c>
      <c r="F465" s="25" t="s">
        <v>989</v>
      </c>
      <c r="G465" s="6" t="s">
        <v>228</v>
      </c>
      <c r="H465" s="19">
        <v>1100000.0</v>
      </c>
      <c r="I465" s="35" t="s">
        <v>76</v>
      </c>
      <c r="J465" s="22">
        <v>300.0</v>
      </c>
      <c r="K465" s="22">
        <v>275.0</v>
      </c>
      <c r="L465" s="22">
        <v>3483.0</v>
      </c>
      <c r="M465" s="23">
        <v>0.54</v>
      </c>
      <c r="N465" s="24">
        <v>2.57</v>
      </c>
      <c r="O465" s="26" t="s">
        <v>29</v>
      </c>
      <c r="P465" s="26" t="s">
        <v>30</v>
      </c>
      <c r="Q465" s="27">
        <f t="shared" si="190"/>
        <v>11.61</v>
      </c>
      <c r="R465" s="23">
        <f t="shared" si="191"/>
        <v>0.04</v>
      </c>
      <c r="S465" s="27">
        <f t="shared" si="192"/>
        <v>12.0744</v>
      </c>
      <c r="T465" s="6" t="s">
        <v>40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6.5" customHeight="1">
      <c r="A466" s="7" t="b">
        <v>0</v>
      </c>
      <c r="B466" s="5" t="s">
        <v>477</v>
      </c>
      <c r="C466" s="5" t="s">
        <v>957</v>
      </c>
      <c r="D466" s="51" t="s">
        <v>990</v>
      </c>
      <c r="E466" s="5" t="s">
        <v>226</v>
      </c>
      <c r="F466" s="17" t="s">
        <v>991</v>
      </c>
      <c r="G466" s="5" t="s">
        <v>228</v>
      </c>
      <c r="H466" s="9">
        <v>12000.0</v>
      </c>
      <c r="I466" s="35" t="s">
        <v>678</v>
      </c>
      <c r="J466" s="9"/>
      <c r="K466" s="9"/>
      <c r="L466" s="9"/>
      <c r="M466" s="28"/>
      <c r="N466" s="29"/>
      <c r="O466" s="30"/>
      <c r="P466" s="30"/>
      <c r="Q466" s="16"/>
      <c r="R466" s="18"/>
      <c r="S466" s="16"/>
      <c r="T466" s="5" t="s">
        <v>256</v>
      </c>
      <c r="U466" s="21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6.5" customHeight="1">
      <c r="A467" s="7" t="b">
        <v>0</v>
      </c>
      <c r="B467" s="37" t="s">
        <v>372</v>
      </c>
      <c r="C467" s="37" t="s">
        <v>957</v>
      </c>
      <c r="D467" s="37" t="s">
        <v>992</v>
      </c>
      <c r="E467" s="37" t="s">
        <v>514</v>
      </c>
      <c r="F467" s="17" t="s">
        <v>993</v>
      </c>
      <c r="G467" s="37" t="s">
        <v>228</v>
      </c>
      <c r="H467" s="38">
        <v>20000.0</v>
      </c>
      <c r="I467" s="20" t="s">
        <v>33</v>
      </c>
      <c r="J467" s="39">
        <v>129.0</v>
      </c>
      <c r="K467" s="39">
        <v>217.0</v>
      </c>
      <c r="L467" s="39">
        <v>3483.0</v>
      </c>
      <c r="M467" s="40">
        <v>0.59</v>
      </c>
      <c r="N467" s="41">
        <v>3.96</v>
      </c>
      <c r="O467" s="42" t="s">
        <v>71</v>
      </c>
      <c r="P467" s="43" t="s">
        <v>30</v>
      </c>
      <c r="Q467" s="44">
        <f t="shared" ref="Q467:Q468" si="193">L467/J467</f>
        <v>27</v>
      </c>
      <c r="R467" s="45">
        <f t="shared" ref="R467:R468" si="194">0+((ABS(0.5-M467)*1))</f>
        <v>0.09</v>
      </c>
      <c r="S467" s="44">
        <f t="shared" ref="S467:S468" si="195">Q467*(R467+1)</f>
        <v>29.43</v>
      </c>
      <c r="T467" s="37" t="s">
        <v>88</v>
      </c>
      <c r="U467" s="37" t="s">
        <v>89</v>
      </c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6.5" customHeight="1">
      <c r="A468" s="7" t="b">
        <v>0</v>
      </c>
      <c r="B468" s="6" t="s">
        <v>104</v>
      </c>
      <c r="C468" s="6" t="s">
        <v>957</v>
      </c>
      <c r="D468" s="6" t="s">
        <v>994</v>
      </c>
      <c r="E468" s="6" t="s">
        <v>215</v>
      </c>
      <c r="F468" s="8" t="s">
        <v>995</v>
      </c>
      <c r="G468" s="6" t="s">
        <v>228</v>
      </c>
      <c r="H468" s="19">
        <v>28000.0</v>
      </c>
      <c r="I468" s="10" t="s">
        <v>27</v>
      </c>
      <c r="J468" s="22">
        <v>227.0</v>
      </c>
      <c r="K468" s="22">
        <v>209.0</v>
      </c>
      <c r="L468" s="22">
        <v>2734.0</v>
      </c>
      <c r="M468" s="23">
        <v>0.62</v>
      </c>
      <c r="N468" s="24">
        <v>2.0</v>
      </c>
      <c r="O468" s="26" t="s">
        <v>71</v>
      </c>
      <c r="P468" s="26" t="s">
        <v>30</v>
      </c>
      <c r="Q468" s="27">
        <f t="shared" si="193"/>
        <v>12.04405286</v>
      </c>
      <c r="R468" s="23">
        <f t="shared" si="194"/>
        <v>0.12</v>
      </c>
      <c r="S468" s="27">
        <f t="shared" si="195"/>
        <v>13.48933921</v>
      </c>
      <c r="T468" s="6" t="s">
        <v>40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6.5" customHeight="1">
      <c r="A469" s="7" t="b">
        <v>0</v>
      </c>
      <c r="B469" s="5" t="s">
        <v>903</v>
      </c>
      <c r="C469" s="5" t="s">
        <v>957</v>
      </c>
      <c r="D469" s="51" t="s">
        <v>996</v>
      </c>
      <c r="E469" s="5" t="s">
        <v>253</v>
      </c>
      <c r="F469" s="32" t="s">
        <v>460</v>
      </c>
      <c r="G469" s="5" t="s">
        <v>228</v>
      </c>
      <c r="H469" s="9">
        <v>1000000.0</v>
      </c>
      <c r="I469" s="35" t="s">
        <v>678</v>
      </c>
      <c r="J469" s="9"/>
      <c r="K469" s="9"/>
      <c r="L469" s="9"/>
      <c r="M469" s="28"/>
      <c r="N469" s="29"/>
      <c r="O469" s="30"/>
      <c r="P469" s="30"/>
      <c r="Q469" s="16"/>
      <c r="R469" s="18"/>
      <c r="S469" s="16"/>
      <c r="T469" s="5" t="s">
        <v>256</v>
      </c>
      <c r="U469" s="21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6.5" customHeight="1">
      <c r="A470" s="7" t="b">
        <v>0</v>
      </c>
      <c r="B470" s="6" t="s">
        <v>477</v>
      </c>
      <c r="C470" s="6" t="s">
        <v>957</v>
      </c>
      <c r="D470" s="6" t="s">
        <v>997</v>
      </c>
      <c r="E470" s="6" t="s">
        <v>226</v>
      </c>
      <c r="F470" s="17" t="s">
        <v>998</v>
      </c>
      <c r="G470" s="6" t="s">
        <v>228</v>
      </c>
      <c r="H470" s="19">
        <v>19000.0</v>
      </c>
      <c r="I470" s="10" t="s">
        <v>27</v>
      </c>
      <c r="J470" s="22">
        <v>72.0</v>
      </c>
      <c r="K470" s="22">
        <v>85.0</v>
      </c>
      <c r="L470" s="22">
        <v>2094.0</v>
      </c>
      <c r="M470" s="23">
        <v>0.62</v>
      </c>
      <c r="N470" s="24">
        <v>1.49</v>
      </c>
      <c r="O470" s="26" t="s">
        <v>30</v>
      </c>
      <c r="P470" s="26" t="s">
        <v>30</v>
      </c>
      <c r="Q470" s="27">
        <f>L470/J470</f>
        <v>29.08333333</v>
      </c>
      <c r="R470" s="23">
        <f>0+((ABS(0.5-M470)*1))</f>
        <v>0.12</v>
      </c>
      <c r="S470" s="27">
        <f>Q470*(R470+1)</f>
        <v>32.57333333</v>
      </c>
      <c r="T470" s="6" t="s">
        <v>40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6.5" customHeight="1">
      <c r="A471" s="7" t="b">
        <v>0</v>
      </c>
      <c r="B471" s="5" t="s">
        <v>477</v>
      </c>
      <c r="C471" s="5" t="s">
        <v>957</v>
      </c>
      <c r="D471" s="5" t="s">
        <v>999</v>
      </c>
      <c r="E471" s="5" t="s">
        <v>231</v>
      </c>
      <c r="F471" s="32" t="s">
        <v>277</v>
      </c>
      <c r="G471" s="5" t="s">
        <v>228</v>
      </c>
      <c r="H471" s="9"/>
      <c r="I471" s="48"/>
      <c r="J471" s="9"/>
      <c r="K471" s="9"/>
      <c r="L471" s="9"/>
      <c r="M471" s="28"/>
      <c r="N471" s="29"/>
      <c r="O471" s="30"/>
      <c r="P471" s="30"/>
      <c r="Q471" s="16"/>
      <c r="R471" s="18"/>
      <c r="S471" s="16"/>
      <c r="T471" s="5" t="s">
        <v>129</v>
      </c>
      <c r="U471" s="21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6.5" customHeight="1">
      <c r="A472" s="7" t="b">
        <v>0</v>
      </c>
      <c r="B472" s="5" t="s">
        <v>573</v>
      </c>
      <c r="C472" s="5" t="s">
        <v>957</v>
      </c>
      <c r="D472" s="5" t="s">
        <v>1000</v>
      </c>
      <c r="E472" s="5" t="s">
        <v>374</v>
      </c>
      <c r="F472" s="17" t="s">
        <v>1001</v>
      </c>
      <c r="G472" s="5" t="s">
        <v>228</v>
      </c>
      <c r="H472" s="9">
        <v>25000.0</v>
      </c>
      <c r="I472" s="35" t="s">
        <v>255</v>
      </c>
      <c r="J472" s="9"/>
      <c r="K472" s="9"/>
      <c r="L472" s="9"/>
      <c r="M472" s="28"/>
      <c r="N472" s="29"/>
      <c r="O472" s="30"/>
      <c r="P472" s="30"/>
      <c r="Q472" s="16"/>
      <c r="R472" s="18"/>
      <c r="S472" s="16"/>
      <c r="T472" s="5" t="s">
        <v>256</v>
      </c>
      <c r="U472" s="21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6.5" customHeight="1">
      <c r="A473" s="7" t="b">
        <v>0</v>
      </c>
      <c r="B473" s="6" t="s">
        <v>477</v>
      </c>
      <c r="C473" s="6" t="s">
        <v>957</v>
      </c>
      <c r="D473" s="6" t="s">
        <v>1002</v>
      </c>
      <c r="E473" s="6" t="s">
        <v>148</v>
      </c>
      <c r="F473" s="8" t="s">
        <v>419</v>
      </c>
      <c r="G473" s="6" t="s">
        <v>228</v>
      </c>
      <c r="H473" s="19">
        <v>40000.0</v>
      </c>
      <c r="I473" s="20" t="s">
        <v>33</v>
      </c>
      <c r="J473" s="22">
        <v>173.0</v>
      </c>
      <c r="K473" s="22">
        <v>166.0</v>
      </c>
      <c r="L473" s="22">
        <v>2513.0</v>
      </c>
      <c r="M473" s="23">
        <v>0.54</v>
      </c>
      <c r="N473" s="24">
        <v>1.81</v>
      </c>
      <c r="O473" s="26" t="s">
        <v>29</v>
      </c>
      <c r="P473" s="26" t="s">
        <v>30</v>
      </c>
      <c r="Q473" s="27">
        <f t="shared" ref="Q473:Q476" si="196">L473/J473</f>
        <v>14.52601156</v>
      </c>
      <c r="R473" s="23">
        <f t="shared" ref="R473:R476" si="197">0+((ABS(0.5-M473)*1))</f>
        <v>0.04</v>
      </c>
      <c r="S473" s="27">
        <f t="shared" ref="S473:S476" si="198">Q473*(R473+1)</f>
        <v>15.10705202</v>
      </c>
      <c r="T473" s="6" t="s">
        <v>72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6.5" customHeight="1">
      <c r="A474" s="7" t="b">
        <v>0</v>
      </c>
      <c r="B474" s="6" t="s">
        <v>473</v>
      </c>
      <c r="C474" s="6" t="s">
        <v>957</v>
      </c>
      <c r="D474" s="6" t="s">
        <v>1002</v>
      </c>
      <c r="E474" s="6" t="s">
        <v>148</v>
      </c>
      <c r="F474" s="8" t="s">
        <v>840</v>
      </c>
      <c r="G474" s="6" t="s">
        <v>228</v>
      </c>
      <c r="H474" s="19">
        <v>20000.0</v>
      </c>
      <c r="I474" s="20" t="s">
        <v>33</v>
      </c>
      <c r="J474" s="22">
        <v>217.0</v>
      </c>
      <c r="K474" s="22">
        <v>202.0</v>
      </c>
      <c r="L474" s="22">
        <v>2789.0</v>
      </c>
      <c r="M474" s="23">
        <v>0.54</v>
      </c>
      <c r="N474" s="24">
        <v>2.0</v>
      </c>
      <c r="O474" s="26" t="s">
        <v>29</v>
      </c>
      <c r="P474" s="26" t="s">
        <v>30</v>
      </c>
      <c r="Q474" s="27">
        <f t="shared" si="196"/>
        <v>12.85253456</v>
      </c>
      <c r="R474" s="23">
        <f t="shared" si="197"/>
        <v>0.04</v>
      </c>
      <c r="S474" s="27">
        <f t="shared" si="198"/>
        <v>13.36663594</v>
      </c>
      <c r="T474" s="6" t="s">
        <v>40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6.5" customHeight="1">
      <c r="A475" s="7" t="b">
        <v>0</v>
      </c>
      <c r="B475" s="6" t="s">
        <v>903</v>
      </c>
      <c r="C475" s="6" t="s">
        <v>957</v>
      </c>
      <c r="D475" s="6" t="s">
        <v>1003</v>
      </c>
      <c r="E475" s="6" t="s">
        <v>148</v>
      </c>
      <c r="F475" s="8" t="s">
        <v>443</v>
      </c>
      <c r="G475" s="6" t="s">
        <v>228</v>
      </c>
      <c r="H475" s="19">
        <v>22000.0</v>
      </c>
      <c r="I475" s="20" t="s">
        <v>33</v>
      </c>
      <c r="J475" s="22">
        <v>217.0</v>
      </c>
      <c r="K475" s="22">
        <v>202.0</v>
      </c>
      <c r="L475" s="22">
        <v>2789.0</v>
      </c>
      <c r="M475" s="23">
        <v>0.54</v>
      </c>
      <c r="N475" s="24">
        <v>2.0</v>
      </c>
      <c r="O475" s="26" t="s">
        <v>29</v>
      </c>
      <c r="P475" s="26" t="s">
        <v>30</v>
      </c>
      <c r="Q475" s="27">
        <f t="shared" si="196"/>
        <v>12.85253456</v>
      </c>
      <c r="R475" s="23">
        <f t="shared" si="197"/>
        <v>0.04</v>
      </c>
      <c r="S475" s="27">
        <f t="shared" si="198"/>
        <v>13.36663594</v>
      </c>
      <c r="T475" s="6" t="s">
        <v>40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6.5" customHeight="1">
      <c r="A476" s="7" t="b">
        <v>0</v>
      </c>
      <c r="B476" s="6" t="s">
        <v>63</v>
      </c>
      <c r="C476" s="6" t="s">
        <v>957</v>
      </c>
      <c r="D476" s="6" t="s">
        <v>1004</v>
      </c>
      <c r="E476" s="6" t="s">
        <v>148</v>
      </c>
      <c r="F476" s="25" t="s">
        <v>544</v>
      </c>
      <c r="G476" s="6" t="s">
        <v>228</v>
      </c>
      <c r="H476" s="19">
        <v>44000.0</v>
      </c>
      <c r="I476" s="20" t="s">
        <v>33</v>
      </c>
      <c r="J476" s="22">
        <v>250.0</v>
      </c>
      <c r="K476" s="22">
        <v>205.0</v>
      </c>
      <c r="L476" s="22">
        <v>2734.0</v>
      </c>
      <c r="M476" s="23">
        <v>0.51</v>
      </c>
      <c r="N476" s="24">
        <v>2.0</v>
      </c>
      <c r="O476" s="26" t="s">
        <v>29</v>
      </c>
      <c r="P476" s="26" t="s">
        <v>30</v>
      </c>
      <c r="Q476" s="27">
        <f t="shared" si="196"/>
        <v>10.936</v>
      </c>
      <c r="R476" s="23">
        <f t="shared" si="197"/>
        <v>0.01</v>
      </c>
      <c r="S476" s="27">
        <f t="shared" si="198"/>
        <v>11.04536</v>
      </c>
      <c r="T476" s="6" t="s">
        <v>40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6.5" customHeight="1">
      <c r="A477" s="7" t="b">
        <v>0</v>
      </c>
      <c r="B477" s="37" t="s">
        <v>956</v>
      </c>
      <c r="C477" s="37" t="s">
        <v>957</v>
      </c>
      <c r="D477" s="37" t="s">
        <v>1005</v>
      </c>
      <c r="E477" s="37" t="s">
        <v>148</v>
      </c>
      <c r="F477" s="8" t="s">
        <v>709</v>
      </c>
      <c r="G477" s="37" t="s">
        <v>228</v>
      </c>
      <c r="H477" s="38"/>
      <c r="I477" s="19"/>
      <c r="J477" s="38"/>
      <c r="K477" s="38"/>
      <c r="L477" s="38"/>
      <c r="M477" s="56"/>
      <c r="N477" s="57"/>
      <c r="O477" s="58"/>
      <c r="P477" s="58"/>
      <c r="Q477" s="44"/>
      <c r="R477" s="45"/>
      <c r="S477" s="44"/>
      <c r="T477" s="37" t="s">
        <v>88</v>
      </c>
      <c r="U477" s="37" t="s">
        <v>89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6.5" customHeight="1">
      <c r="A478" s="7" t="b">
        <v>0</v>
      </c>
      <c r="B478" s="5" t="s">
        <v>914</v>
      </c>
      <c r="C478" s="5" t="s">
        <v>957</v>
      </c>
      <c r="D478" s="5" t="s">
        <v>1006</v>
      </c>
      <c r="E478" s="5" t="s">
        <v>221</v>
      </c>
      <c r="F478" s="17" t="s">
        <v>1007</v>
      </c>
      <c r="G478" s="5" t="s">
        <v>228</v>
      </c>
      <c r="H478" s="9">
        <v>169000.0</v>
      </c>
      <c r="I478" s="35" t="s">
        <v>678</v>
      </c>
      <c r="J478" s="9"/>
      <c r="K478" s="9"/>
      <c r="L478" s="9"/>
      <c r="M478" s="28"/>
      <c r="N478" s="29"/>
      <c r="O478" s="30"/>
      <c r="P478" s="30"/>
      <c r="Q478" s="16"/>
      <c r="R478" s="18"/>
      <c r="S478" s="16"/>
      <c r="T478" s="5" t="s">
        <v>256</v>
      </c>
      <c r="U478" s="21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6.5" customHeight="1">
      <c r="A479" s="7" t="b">
        <v>0</v>
      </c>
      <c r="B479" s="6" t="s">
        <v>66</v>
      </c>
      <c r="C479" s="6" t="s">
        <v>957</v>
      </c>
      <c r="D479" s="6" t="s">
        <v>1008</v>
      </c>
      <c r="E479" s="6" t="s">
        <v>148</v>
      </c>
      <c r="F479" s="25" t="s">
        <v>1009</v>
      </c>
      <c r="G479" s="6" t="s">
        <v>228</v>
      </c>
      <c r="H479" s="19">
        <v>72000.0</v>
      </c>
      <c r="I479" s="10" t="s">
        <v>27</v>
      </c>
      <c r="J479" s="22">
        <v>276.0</v>
      </c>
      <c r="K479" s="22">
        <v>260.0</v>
      </c>
      <c r="L479" s="22">
        <v>3263.0</v>
      </c>
      <c r="M479" s="23">
        <v>0.59</v>
      </c>
      <c r="N479" s="24">
        <v>2.57</v>
      </c>
      <c r="O479" s="26" t="s">
        <v>71</v>
      </c>
      <c r="P479" s="26" t="s">
        <v>30</v>
      </c>
      <c r="Q479" s="27">
        <f t="shared" ref="Q479:Q481" si="199">L479/J479</f>
        <v>11.82246377</v>
      </c>
      <c r="R479" s="23">
        <f t="shared" ref="R479:R481" si="200">0+((ABS(0.5-M479)*1))</f>
        <v>0.09</v>
      </c>
      <c r="S479" s="27">
        <f t="shared" ref="S479:S481" si="201">Q479*(R479+1)</f>
        <v>12.88648551</v>
      </c>
      <c r="T479" s="6" t="s">
        <v>40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6.5" customHeight="1">
      <c r="A480" s="7" t="b">
        <v>0</v>
      </c>
      <c r="B480" s="37" t="s">
        <v>903</v>
      </c>
      <c r="C480" s="37" t="s">
        <v>957</v>
      </c>
      <c r="D480" s="37" t="s">
        <v>1010</v>
      </c>
      <c r="E480" s="37" t="s">
        <v>148</v>
      </c>
      <c r="F480" s="25" t="s">
        <v>424</v>
      </c>
      <c r="G480" s="37" t="s">
        <v>228</v>
      </c>
      <c r="H480" s="38">
        <v>120000.0</v>
      </c>
      <c r="I480" s="35" t="s">
        <v>76</v>
      </c>
      <c r="J480" s="39">
        <v>276.0</v>
      </c>
      <c r="K480" s="39">
        <v>271.0</v>
      </c>
      <c r="L480" s="39">
        <v>3439.0</v>
      </c>
      <c r="M480" s="40">
        <v>0.54</v>
      </c>
      <c r="N480" s="41">
        <v>2.57</v>
      </c>
      <c r="O480" s="42" t="s">
        <v>71</v>
      </c>
      <c r="P480" s="43" t="s">
        <v>30</v>
      </c>
      <c r="Q480" s="44">
        <f t="shared" si="199"/>
        <v>12.46014493</v>
      </c>
      <c r="R480" s="45">
        <f t="shared" si="200"/>
        <v>0.04</v>
      </c>
      <c r="S480" s="44">
        <f t="shared" si="201"/>
        <v>12.95855072</v>
      </c>
      <c r="T480" s="37" t="s">
        <v>88</v>
      </c>
      <c r="U480" s="37" t="s">
        <v>89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6.5" customHeight="1">
      <c r="A481" s="7" t="b">
        <v>0</v>
      </c>
      <c r="B481" s="6" t="s">
        <v>567</v>
      </c>
      <c r="C481" s="6" t="s">
        <v>957</v>
      </c>
      <c r="D481" s="6" t="s">
        <v>1011</v>
      </c>
      <c r="E481" s="6" t="s">
        <v>148</v>
      </c>
      <c r="F481" s="25" t="s">
        <v>1012</v>
      </c>
      <c r="G481" s="6" t="s">
        <v>228</v>
      </c>
      <c r="H481" s="19">
        <v>200000.0</v>
      </c>
      <c r="I481" s="10" t="s">
        <v>27</v>
      </c>
      <c r="J481" s="22">
        <v>281.0</v>
      </c>
      <c r="K481" s="22">
        <v>289.0</v>
      </c>
      <c r="L481" s="22">
        <v>3439.0</v>
      </c>
      <c r="M481" s="23">
        <v>0.55</v>
      </c>
      <c r="N481" s="24">
        <v>2.57</v>
      </c>
      <c r="O481" s="26" t="s">
        <v>71</v>
      </c>
      <c r="P481" s="26" t="s">
        <v>30</v>
      </c>
      <c r="Q481" s="27">
        <f t="shared" si="199"/>
        <v>12.23843416</v>
      </c>
      <c r="R481" s="23">
        <f t="shared" si="200"/>
        <v>0.05</v>
      </c>
      <c r="S481" s="27">
        <f t="shared" si="201"/>
        <v>12.85035587</v>
      </c>
      <c r="T481" s="6" t="s">
        <v>40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6.5" customHeight="1">
      <c r="A482" s="7" t="b">
        <v>0</v>
      </c>
      <c r="B482" s="5" t="s">
        <v>266</v>
      </c>
      <c r="C482" s="5" t="s">
        <v>957</v>
      </c>
      <c r="D482" s="5" t="s">
        <v>1013</v>
      </c>
      <c r="E482" s="5" t="s">
        <v>148</v>
      </c>
      <c r="F482" s="25" t="s">
        <v>785</v>
      </c>
      <c r="G482" s="5" t="s">
        <v>228</v>
      </c>
      <c r="H482" s="9">
        <v>250000.0</v>
      </c>
      <c r="I482" s="10" t="s">
        <v>27</v>
      </c>
      <c r="J482" s="9"/>
      <c r="K482" s="9"/>
      <c r="L482" s="9"/>
      <c r="M482" s="28"/>
      <c r="N482" s="29"/>
      <c r="O482" s="30"/>
      <c r="P482" s="30"/>
      <c r="Q482" s="16"/>
      <c r="R482" s="18"/>
      <c r="S482" s="16"/>
      <c r="T482" s="5" t="s">
        <v>34</v>
      </c>
      <c r="U482" s="21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6.5" customHeight="1">
      <c r="A483" s="7" t="b">
        <v>0</v>
      </c>
      <c r="B483" s="6" t="s">
        <v>299</v>
      </c>
      <c r="C483" s="6" t="s">
        <v>957</v>
      </c>
      <c r="D483" s="6" t="s">
        <v>1014</v>
      </c>
      <c r="E483" s="6" t="s">
        <v>148</v>
      </c>
      <c r="F483" s="8" t="s">
        <v>566</v>
      </c>
      <c r="G483" s="6" t="s">
        <v>228</v>
      </c>
      <c r="H483" s="19"/>
      <c r="I483" s="48"/>
      <c r="J483" s="22">
        <v>206.0</v>
      </c>
      <c r="K483" s="22">
        <v>181.0</v>
      </c>
      <c r="L483" s="22">
        <v>2965.0</v>
      </c>
      <c r="M483" s="23">
        <v>0.52</v>
      </c>
      <c r="N483" s="24">
        <v>2.0</v>
      </c>
      <c r="O483" s="26" t="s">
        <v>29</v>
      </c>
      <c r="P483" s="26" t="s">
        <v>30</v>
      </c>
      <c r="Q483" s="27">
        <f t="shared" ref="Q483:Q489" si="202">L483/J483</f>
        <v>14.39320388</v>
      </c>
      <c r="R483" s="23">
        <f t="shared" ref="R483:R489" si="203">0+((ABS(0.5-M483)*1))</f>
        <v>0.02</v>
      </c>
      <c r="S483" s="27">
        <f t="shared" ref="S483:S489" si="204">Q483*(R483+1)</f>
        <v>14.68106796</v>
      </c>
      <c r="T483" s="6" t="s">
        <v>72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6.5" customHeight="1">
      <c r="A484" s="7" t="b">
        <v>0</v>
      </c>
      <c r="B484" s="6" t="s">
        <v>238</v>
      </c>
      <c r="C484" s="6" t="s">
        <v>957</v>
      </c>
      <c r="D484" s="6" t="s">
        <v>1015</v>
      </c>
      <c r="E484" s="6" t="s">
        <v>221</v>
      </c>
      <c r="F484" s="8" t="s">
        <v>369</v>
      </c>
      <c r="G484" s="6" t="s">
        <v>228</v>
      </c>
      <c r="H484" s="19"/>
      <c r="I484" s="48"/>
      <c r="J484" s="22">
        <v>158.0</v>
      </c>
      <c r="K484" s="22">
        <v>130.0</v>
      </c>
      <c r="L484" s="22">
        <v>2524.0</v>
      </c>
      <c r="M484" s="23">
        <v>0.55</v>
      </c>
      <c r="N484" s="24">
        <v>1.99</v>
      </c>
      <c r="O484" s="26" t="s">
        <v>29</v>
      </c>
      <c r="P484" s="26" t="s">
        <v>30</v>
      </c>
      <c r="Q484" s="27">
        <f t="shared" si="202"/>
        <v>15.97468354</v>
      </c>
      <c r="R484" s="23">
        <f t="shared" si="203"/>
        <v>0.05</v>
      </c>
      <c r="S484" s="27">
        <f t="shared" si="204"/>
        <v>16.77341772</v>
      </c>
      <c r="T484" s="6" t="s">
        <v>40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6.5" customHeight="1">
      <c r="A485" s="7" t="b">
        <v>0</v>
      </c>
      <c r="B485" s="6" t="s">
        <v>266</v>
      </c>
      <c r="C485" s="6" t="s">
        <v>957</v>
      </c>
      <c r="D485" s="6" t="s">
        <v>1016</v>
      </c>
      <c r="E485" s="6" t="s">
        <v>69</v>
      </c>
      <c r="F485" s="8" t="s">
        <v>70</v>
      </c>
      <c r="G485" s="6" t="s">
        <v>228</v>
      </c>
      <c r="H485" s="19">
        <v>20000.0</v>
      </c>
      <c r="I485" s="34" t="s">
        <v>62</v>
      </c>
      <c r="J485" s="22">
        <v>232.0</v>
      </c>
      <c r="K485" s="22">
        <v>202.0</v>
      </c>
      <c r="L485" s="22">
        <v>3571.0</v>
      </c>
      <c r="M485" s="23">
        <v>0.57</v>
      </c>
      <c r="N485" s="24">
        <v>2.5</v>
      </c>
      <c r="O485" s="26" t="s">
        <v>71</v>
      </c>
      <c r="P485" s="26" t="s">
        <v>30</v>
      </c>
      <c r="Q485" s="27">
        <f t="shared" si="202"/>
        <v>15.39224138</v>
      </c>
      <c r="R485" s="23">
        <f t="shared" si="203"/>
        <v>0.07</v>
      </c>
      <c r="S485" s="27">
        <f t="shared" si="204"/>
        <v>16.46969828</v>
      </c>
      <c r="T485" s="6" t="s">
        <v>40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6.5" customHeight="1">
      <c r="A486" s="7" t="b">
        <v>0</v>
      </c>
      <c r="B486" s="6" t="s">
        <v>292</v>
      </c>
      <c r="C486" s="6" t="s">
        <v>957</v>
      </c>
      <c r="D486" s="6" t="s">
        <v>1017</v>
      </c>
      <c r="E486" s="6" t="s">
        <v>24</v>
      </c>
      <c r="F486" s="36" t="s">
        <v>286</v>
      </c>
      <c r="G486" s="6" t="s">
        <v>228</v>
      </c>
      <c r="H486" s="19">
        <v>60000.0</v>
      </c>
      <c r="I486" s="34" t="s">
        <v>62</v>
      </c>
      <c r="J486" s="22">
        <v>420.0</v>
      </c>
      <c r="K486" s="22">
        <v>384.0</v>
      </c>
      <c r="L486" s="22">
        <v>3704.0</v>
      </c>
      <c r="M486" s="23">
        <v>0.57</v>
      </c>
      <c r="N486" s="24">
        <v>3.0</v>
      </c>
      <c r="O486" s="26" t="s">
        <v>29</v>
      </c>
      <c r="P486" s="26" t="s">
        <v>30</v>
      </c>
      <c r="Q486" s="27">
        <f t="shared" si="202"/>
        <v>8.819047619</v>
      </c>
      <c r="R486" s="23">
        <f t="shared" si="203"/>
        <v>0.07</v>
      </c>
      <c r="S486" s="27">
        <f t="shared" si="204"/>
        <v>9.436380952</v>
      </c>
      <c r="T486" s="6" t="s">
        <v>40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6.5" customHeight="1">
      <c r="A487" s="7" t="b">
        <v>0</v>
      </c>
      <c r="B487" s="6" t="s">
        <v>217</v>
      </c>
      <c r="C487" s="6" t="s">
        <v>1018</v>
      </c>
      <c r="D487" s="6" t="s">
        <v>1019</v>
      </c>
      <c r="E487" s="6" t="s">
        <v>60</v>
      </c>
      <c r="F487" s="32" t="s">
        <v>1020</v>
      </c>
      <c r="G487" s="6" t="s">
        <v>134</v>
      </c>
      <c r="H487" s="19">
        <v>322000.0</v>
      </c>
      <c r="I487" s="34" t="s">
        <v>62</v>
      </c>
      <c r="J487" s="22">
        <v>650.0</v>
      </c>
      <c r="K487" s="22">
        <v>604.0</v>
      </c>
      <c r="L487" s="22">
        <v>2756.0</v>
      </c>
      <c r="M487" s="23">
        <v>0.4</v>
      </c>
      <c r="N487" s="24">
        <v>4.44</v>
      </c>
      <c r="O487" s="26" t="s">
        <v>29</v>
      </c>
      <c r="P487" s="26" t="s">
        <v>77</v>
      </c>
      <c r="Q487" s="27">
        <f t="shared" si="202"/>
        <v>4.24</v>
      </c>
      <c r="R487" s="23">
        <f t="shared" si="203"/>
        <v>0.1</v>
      </c>
      <c r="S487" s="27">
        <f t="shared" si="204"/>
        <v>4.664</v>
      </c>
      <c r="T487" s="6" t="s">
        <v>40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6.5" customHeight="1">
      <c r="A488" s="7" t="b">
        <v>0</v>
      </c>
      <c r="B488" s="6" t="s">
        <v>213</v>
      </c>
      <c r="C488" s="6" t="s">
        <v>1021</v>
      </c>
      <c r="D488" s="6" t="s">
        <v>1022</v>
      </c>
      <c r="E488" s="6" t="s">
        <v>171</v>
      </c>
      <c r="F488" s="25" t="s">
        <v>361</v>
      </c>
      <c r="G488" s="6" t="s">
        <v>128</v>
      </c>
      <c r="H488" s="19">
        <v>152000.0</v>
      </c>
      <c r="I488" s="10" t="s">
        <v>27</v>
      </c>
      <c r="J488" s="22">
        <v>275.0</v>
      </c>
      <c r="K488" s="22">
        <v>221.0</v>
      </c>
      <c r="L488" s="22">
        <v>2183.0</v>
      </c>
      <c r="M488" s="23">
        <v>0.55</v>
      </c>
      <c r="N488" s="24">
        <v>2.41</v>
      </c>
      <c r="O488" s="26" t="s">
        <v>29</v>
      </c>
      <c r="P488" s="26" t="s">
        <v>30</v>
      </c>
      <c r="Q488" s="27">
        <f t="shared" si="202"/>
        <v>7.938181818</v>
      </c>
      <c r="R488" s="23">
        <f t="shared" si="203"/>
        <v>0.05</v>
      </c>
      <c r="S488" s="27">
        <f t="shared" si="204"/>
        <v>8.335090909</v>
      </c>
      <c r="T488" s="6" t="s">
        <v>122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6.5" customHeight="1">
      <c r="A489" s="7" t="b">
        <v>0</v>
      </c>
      <c r="B489" s="6" t="s">
        <v>41</v>
      </c>
      <c r="C489" s="6" t="s">
        <v>1023</v>
      </c>
      <c r="D489" s="6" t="s">
        <v>1024</v>
      </c>
      <c r="E489" s="6" t="s">
        <v>156</v>
      </c>
      <c r="F489" s="50" t="s">
        <v>507</v>
      </c>
      <c r="G489" s="6" t="s">
        <v>26</v>
      </c>
      <c r="H489" s="19">
        <v>3600000.0</v>
      </c>
      <c r="I489" s="35" t="s">
        <v>76</v>
      </c>
      <c r="J489" s="22">
        <v>740.0</v>
      </c>
      <c r="K489" s="22">
        <v>737.0</v>
      </c>
      <c r="L489" s="22">
        <v>2685.0</v>
      </c>
      <c r="M489" s="23">
        <v>0.44</v>
      </c>
      <c r="N489" s="24">
        <v>5.98</v>
      </c>
      <c r="O489" s="26" t="s">
        <v>29</v>
      </c>
      <c r="P489" s="26" t="s">
        <v>77</v>
      </c>
      <c r="Q489" s="27">
        <f t="shared" si="202"/>
        <v>3.628378378</v>
      </c>
      <c r="R489" s="23">
        <f t="shared" si="203"/>
        <v>0.06</v>
      </c>
      <c r="S489" s="27">
        <f t="shared" si="204"/>
        <v>3.846081081</v>
      </c>
      <c r="T489" s="6" t="s">
        <v>40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6.5" customHeight="1">
      <c r="A490" s="7" t="b">
        <v>0</v>
      </c>
      <c r="B490" s="5" t="s">
        <v>90</v>
      </c>
      <c r="C490" s="5" t="s">
        <v>1023</v>
      </c>
      <c r="D490" s="5" t="s">
        <v>1025</v>
      </c>
      <c r="E490" s="5" t="s">
        <v>126</v>
      </c>
      <c r="F490" s="49" t="s">
        <v>1026</v>
      </c>
      <c r="G490" s="5" t="s">
        <v>26</v>
      </c>
      <c r="H490" s="9">
        <v>2750000.0</v>
      </c>
      <c r="I490" s="35" t="s">
        <v>76</v>
      </c>
      <c r="J490" s="9"/>
      <c r="K490" s="9"/>
      <c r="L490" s="9"/>
      <c r="M490" s="28"/>
      <c r="N490" s="29"/>
      <c r="O490" s="30"/>
      <c r="P490" s="30"/>
      <c r="Q490" s="16"/>
      <c r="R490" s="18"/>
      <c r="S490" s="16"/>
      <c r="T490" s="5" t="s">
        <v>34</v>
      </c>
      <c r="U490" s="21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6.5" customHeight="1">
      <c r="A491" s="7" t="b">
        <v>0</v>
      </c>
      <c r="B491" s="6" t="s">
        <v>217</v>
      </c>
      <c r="C491" s="6" t="s">
        <v>1023</v>
      </c>
      <c r="D491" s="6" t="s">
        <v>1027</v>
      </c>
      <c r="E491" s="6" t="s">
        <v>156</v>
      </c>
      <c r="F491" s="50" t="s">
        <v>1028</v>
      </c>
      <c r="G491" s="6" t="s">
        <v>26</v>
      </c>
      <c r="H491" s="19">
        <v>4000000.0</v>
      </c>
      <c r="I491" s="35" t="s">
        <v>76</v>
      </c>
      <c r="J491" s="22">
        <v>678.0</v>
      </c>
      <c r="K491" s="22">
        <v>575.0</v>
      </c>
      <c r="L491" s="22">
        <v>2858.0</v>
      </c>
      <c r="M491" s="23">
        <v>0.47</v>
      </c>
      <c r="N491" s="24">
        <v>7.29</v>
      </c>
      <c r="O491" s="26" t="s">
        <v>29</v>
      </c>
      <c r="P491" s="26" t="s">
        <v>77</v>
      </c>
      <c r="Q491" s="27">
        <f t="shared" ref="Q491:Q496" si="205">L491/J491</f>
        <v>4.215339233</v>
      </c>
      <c r="R491" s="23">
        <f t="shared" ref="R491:R496" si="206">0+((ABS(0.5-M491)*1))</f>
        <v>0.03</v>
      </c>
      <c r="S491" s="27">
        <f t="shared" ref="S491:S496" si="207">Q491*(R491+1)</f>
        <v>4.34179941</v>
      </c>
      <c r="T491" s="6" t="s">
        <v>72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6.5" customHeight="1">
      <c r="A492" s="7" t="b">
        <v>0</v>
      </c>
      <c r="B492" s="6" t="s">
        <v>177</v>
      </c>
      <c r="C492" s="6" t="s">
        <v>1023</v>
      </c>
      <c r="D492" s="6" t="s">
        <v>1029</v>
      </c>
      <c r="E492" s="6" t="s">
        <v>126</v>
      </c>
      <c r="F492" s="49" t="s">
        <v>1030</v>
      </c>
      <c r="G492" s="6" t="s">
        <v>26</v>
      </c>
      <c r="H492" s="19">
        <v>4750000.0</v>
      </c>
      <c r="I492" s="35" t="s">
        <v>76</v>
      </c>
      <c r="J492" s="22">
        <v>739.0</v>
      </c>
      <c r="K492" s="22">
        <v>523.0</v>
      </c>
      <c r="L492" s="22">
        <v>2536.0</v>
      </c>
      <c r="M492" s="23">
        <v>0.46</v>
      </c>
      <c r="N492" s="24">
        <v>5.99</v>
      </c>
      <c r="O492" s="26" t="s">
        <v>29</v>
      </c>
      <c r="P492" s="26" t="s">
        <v>77</v>
      </c>
      <c r="Q492" s="27">
        <f t="shared" si="205"/>
        <v>3.431664411</v>
      </c>
      <c r="R492" s="23">
        <f t="shared" si="206"/>
        <v>0.04</v>
      </c>
      <c r="S492" s="27">
        <f t="shared" si="207"/>
        <v>3.568930988</v>
      </c>
      <c r="T492" s="6" t="s">
        <v>40</v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6.5" customHeight="1">
      <c r="A493" s="7" t="b">
        <v>0</v>
      </c>
      <c r="B493" s="6" t="s">
        <v>439</v>
      </c>
      <c r="C493" s="6" t="s">
        <v>1031</v>
      </c>
      <c r="D493" s="6" t="s">
        <v>1032</v>
      </c>
      <c r="E493" s="6" t="s">
        <v>38</v>
      </c>
      <c r="F493" s="17" t="s">
        <v>32</v>
      </c>
      <c r="G493" s="6" t="s">
        <v>134</v>
      </c>
      <c r="H493" s="19">
        <v>21000.0</v>
      </c>
      <c r="I493" s="35" t="s">
        <v>76</v>
      </c>
      <c r="J493" s="22">
        <v>4.0</v>
      </c>
      <c r="K493" s="22">
        <v>6.0</v>
      </c>
      <c r="L493" s="22">
        <v>310.0</v>
      </c>
      <c r="M493" s="23">
        <v>0.5</v>
      </c>
      <c r="N493" s="24">
        <v>0.05</v>
      </c>
      <c r="O493" s="26" t="s">
        <v>29</v>
      </c>
      <c r="P493" s="26" t="s">
        <v>77</v>
      </c>
      <c r="Q493" s="27">
        <f t="shared" si="205"/>
        <v>77.5</v>
      </c>
      <c r="R493" s="23">
        <f t="shared" si="206"/>
        <v>0</v>
      </c>
      <c r="S493" s="27">
        <f t="shared" si="207"/>
        <v>77.5</v>
      </c>
      <c r="T493" s="6" t="s">
        <v>40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6.5" customHeight="1">
      <c r="A494" s="7" t="b">
        <v>0</v>
      </c>
      <c r="B494" s="37" t="s">
        <v>439</v>
      </c>
      <c r="C494" s="37" t="s">
        <v>1031</v>
      </c>
      <c r="D494" s="37" t="s">
        <v>1033</v>
      </c>
      <c r="E494" s="37" t="s">
        <v>38</v>
      </c>
      <c r="F494" s="17" t="s">
        <v>32</v>
      </c>
      <c r="G494" s="37" t="s">
        <v>134</v>
      </c>
      <c r="H494" s="38">
        <v>21000.0</v>
      </c>
      <c r="I494" s="35" t="s">
        <v>76</v>
      </c>
      <c r="J494" s="39">
        <v>4.0</v>
      </c>
      <c r="K494" s="39">
        <v>6.0</v>
      </c>
      <c r="L494" s="39">
        <v>310.0</v>
      </c>
      <c r="M494" s="40">
        <v>0.5</v>
      </c>
      <c r="N494" s="41">
        <v>0.05</v>
      </c>
      <c r="O494" s="42" t="s">
        <v>29</v>
      </c>
      <c r="P494" s="43" t="s">
        <v>77</v>
      </c>
      <c r="Q494" s="44">
        <f t="shared" si="205"/>
        <v>77.5</v>
      </c>
      <c r="R494" s="45">
        <f t="shared" si="206"/>
        <v>0</v>
      </c>
      <c r="S494" s="44">
        <f t="shared" si="207"/>
        <v>77.5</v>
      </c>
      <c r="T494" s="37" t="s">
        <v>88</v>
      </c>
      <c r="U494" s="37" t="s">
        <v>1034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6.5" customHeight="1">
      <c r="A495" s="7" t="b">
        <v>0</v>
      </c>
      <c r="B495" s="6" t="s">
        <v>187</v>
      </c>
      <c r="C495" s="6" t="s">
        <v>1035</v>
      </c>
      <c r="D495" s="6" t="s">
        <v>1036</v>
      </c>
      <c r="E495" s="6" t="s">
        <v>111</v>
      </c>
      <c r="F495" s="25" t="s">
        <v>1009</v>
      </c>
      <c r="G495" s="6" t="s">
        <v>52</v>
      </c>
      <c r="H495" s="19">
        <v>85000.0</v>
      </c>
      <c r="I495" s="10" t="s">
        <v>27</v>
      </c>
      <c r="J495" s="22">
        <v>195.0</v>
      </c>
      <c r="K495" s="22">
        <v>190.0</v>
      </c>
      <c r="L495" s="22">
        <v>2200.0</v>
      </c>
      <c r="M495" s="23">
        <v>0.45</v>
      </c>
      <c r="N495" s="24">
        <v>2.38</v>
      </c>
      <c r="O495" s="26" t="s">
        <v>29</v>
      </c>
      <c r="P495" s="26" t="s">
        <v>29</v>
      </c>
      <c r="Q495" s="27">
        <f t="shared" si="205"/>
        <v>11.28205128</v>
      </c>
      <c r="R495" s="23">
        <f t="shared" si="206"/>
        <v>0.05</v>
      </c>
      <c r="S495" s="27">
        <f t="shared" si="207"/>
        <v>11.84615385</v>
      </c>
      <c r="T495" s="6" t="s">
        <v>40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6.5" customHeight="1">
      <c r="A496" s="7" t="b">
        <v>0</v>
      </c>
      <c r="B496" s="6" t="s">
        <v>618</v>
      </c>
      <c r="C496" s="6" t="s">
        <v>1037</v>
      </c>
      <c r="D496" s="6" t="s">
        <v>1038</v>
      </c>
      <c r="E496" s="6" t="s">
        <v>56</v>
      </c>
      <c r="F496" s="17" t="s">
        <v>722</v>
      </c>
      <c r="G496" s="6" t="s">
        <v>1039</v>
      </c>
      <c r="H496" s="19">
        <v>22000.0</v>
      </c>
      <c r="I496" s="10" t="s">
        <v>27</v>
      </c>
      <c r="J496" s="22">
        <v>99.0</v>
      </c>
      <c r="K496" s="22">
        <v>87.0</v>
      </c>
      <c r="L496" s="22">
        <v>1742.0</v>
      </c>
      <c r="M496" s="23">
        <v>0.65</v>
      </c>
      <c r="N496" s="24">
        <v>1.29</v>
      </c>
      <c r="O496" s="26" t="s">
        <v>30</v>
      </c>
      <c r="P496" s="26" t="s">
        <v>30</v>
      </c>
      <c r="Q496" s="27">
        <f t="shared" si="205"/>
        <v>17.5959596</v>
      </c>
      <c r="R496" s="23">
        <f t="shared" si="206"/>
        <v>0.15</v>
      </c>
      <c r="S496" s="27">
        <f t="shared" si="207"/>
        <v>20.23535354</v>
      </c>
      <c r="T496" s="6" t="s">
        <v>40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6.5" customHeight="1">
      <c r="A497" s="7" t="b">
        <v>0</v>
      </c>
      <c r="B497" s="5" t="s">
        <v>213</v>
      </c>
      <c r="C497" s="5" t="s">
        <v>1037</v>
      </c>
      <c r="D497" s="5" t="s">
        <v>1040</v>
      </c>
      <c r="E497" s="5" t="s">
        <v>215</v>
      </c>
      <c r="F497" s="8" t="s">
        <v>532</v>
      </c>
      <c r="G497" s="5" t="s">
        <v>1039</v>
      </c>
      <c r="H497" s="9">
        <v>275000.0</v>
      </c>
      <c r="I497" s="35" t="s">
        <v>678</v>
      </c>
      <c r="J497" s="9"/>
      <c r="K497" s="9"/>
      <c r="L497" s="9"/>
      <c r="M497" s="28"/>
      <c r="N497" s="29"/>
      <c r="O497" s="30"/>
      <c r="P497" s="30"/>
      <c r="Q497" s="16"/>
      <c r="R497" s="18"/>
      <c r="S497" s="16"/>
      <c r="T497" s="5" t="s">
        <v>256</v>
      </c>
      <c r="U497" s="21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6.5" customHeight="1">
      <c r="A498" s="7" t="b">
        <v>0</v>
      </c>
      <c r="B498" s="5" t="s">
        <v>82</v>
      </c>
      <c r="C498" s="5" t="s">
        <v>1037</v>
      </c>
      <c r="D498" s="5" t="s">
        <v>1041</v>
      </c>
      <c r="E498" s="5" t="s">
        <v>171</v>
      </c>
      <c r="F498" s="36" t="s">
        <v>1042</v>
      </c>
      <c r="G498" s="5" t="s">
        <v>1039</v>
      </c>
      <c r="H498" s="9"/>
      <c r="I498" s="48"/>
      <c r="J498" s="9"/>
      <c r="K498" s="9"/>
      <c r="L498" s="9"/>
      <c r="M498" s="28"/>
      <c r="N498" s="29"/>
      <c r="O498" s="30"/>
      <c r="P498" s="30"/>
      <c r="Q498" s="16"/>
      <c r="R498" s="18"/>
      <c r="S498" s="16"/>
      <c r="T498" s="5" t="s">
        <v>34</v>
      </c>
      <c r="U498" s="21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6.5" customHeight="1">
      <c r="A499" s="7" t="b">
        <v>0</v>
      </c>
      <c r="B499" s="6" t="s">
        <v>36</v>
      </c>
      <c r="C499" s="6" t="s">
        <v>1043</v>
      </c>
      <c r="D499" s="6" t="s">
        <v>1044</v>
      </c>
      <c r="E499" s="6" t="s">
        <v>331</v>
      </c>
      <c r="F499" s="8" t="s">
        <v>1045</v>
      </c>
      <c r="G499" s="6" t="s">
        <v>52</v>
      </c>
      <c r="H499" s="19">
        <v>45000.0</v>
      </c>
      <c r="I499" s="10" t="s">
        <v>27</v>
      </c>
      <c r="J499" s="22">
        <v>300.0</v>
      </c>
      <c r="K499" s="22">
        <v>400.0</v>
      </c>
      <c r="L499" s="22">
        <v>3470.0</v>
      </c>
      <c r="M499" s="23">
        <v>0.57</v>
      </c>
      <c r="N499" s="24">
        <v>6.29</v>
      </c>
      <c r="O499" s="26" t="s">
        <v>29</v>
      </c>
      <c r="P499" s="26" t="s">
        <v>30</v>
      </c>
      <c r="Q499" s="27">
        <f t="shared" ref="Q499:Q508" si="208">L499/J499</f>
        <v>11.56666667</v>
      </c>
      <c r="R499" s="23">
        <f t="shared" ref="R499:R508" si="209">0+((ABS(0.5-M499)*1))</f>
        <v>0.07</v>
      </c>
      <c r="S499" s="27">
        <f t="shared" ref="S499:S508" si="210">Q499*(R499+1)</f>
        <v>12.37633333</v>
      </c>
      <c r="T499" s="6" t="s">
        <v>40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6.5" customHeight="1">
      <c r="A500" s="7" t="b">
        <v>0</v>
      </c>
      <c r="B500" s="6" t="s">
        <v>914</v>
      </c>
      <c r="C500" s="6" t="s">
        <v>1043</v>
      </c>
      <c r="D500" s="6" t="s">
        <v>1046</v>
      </c>
      <c r="E500" s="6" t="s">
        <v>331</v>
      </c>
      <c r="F500" s="8" t="s">
        <v>515</v>
      </c>
      <c r="G500" s="6" t="s">
        <v>52</v>
      </c>
      <c r="H500" s="19">
        <v>125000.0</v>
      </c>
      <c r="I500" s="34" t="s">
        <v>62</v>
      </c>
      <c r="J500" s="22">
        <v>425.0</v>
      </c>
      <c r="K500" s="22">
        <v>490.0</v>
      </c>
      <c r="L500" s="22">
        <v>3880.0</v>
      </c>
      <c r="M500" s="23">
        <v>0.58</v>
      </c>
      <c r="N500" s="24">
        <v>6.97</v>
      </c>
      <c r="O500" s="26" t="s">
        <v>29</v>
      </c>
      <c r="P500" s="26" t="s">
        <v>30</v>
      </c>
      <c r="Q500" s="27">
        <f t="shared" si="208"/>
        <v>9.129411765</v>
      </c>
      <c r="R500" s="23">
        <f t="shared" si="209"/>
        <v>0.08</v>
      </c>
      <c r="S500" s="27">
        <f t="shared" si="210"/>
        <v>9.859764706</v>
      </c>
      <c r="T500" s="6" t="s">
        <v>40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6.5" customHeight="1">
      <c r="A501" s="7" t="b">
        <v>0</v>
      </c>
      <c r="B501" s="6" t="s">
        <v>1047</v>
      </c>
      <c r="C501" s="6" t="s">
        <v>1043</v>
      </c>
      <c r="D501" s="6" t="s">
        <v>1048</v>
      </c>
      <c r="E501" s="6" t="s">
        <v>325</v>
      </c>
      <c r="F501" s="17" t="s">
        <v>1049</v>
      </c>
      <c r="G501" s="6" t="s">
        <v>52</v>
      </c>
      <c r="H501" s="19">
        <v>53000.0</v>
      </c>
      <c r="I501" s="10" t="s">
        <v>27</v>
      </c>
      <c r="J501" s="22">
        <v>305.0</v>
      </c>
      <c r="K501" s="22">
        <v>370.0</v>
      </c>
      <c r="L501" s="22">
        <v>3595.0</v>
      </c>
      <c r="M501" s="23">
        <v>0.57</v>
      </c>
      <c r="N501" s="24">
        <v>5.73</v>
      </c>
      <c r="O501" s="26" t="s">
        <v>29</v>
      </c>
      <c r="P501" s="26" t="s">
        <v>30</v>
      </c>
      <c r="Q501" s="27">
        <f t="shared" si="208"/>
        <v>11.78688525</v>
      </c>
      <c r="R501" s="23">
        <f t="shared" si="209"/>
        <v>0.07</v>
      </c>
      <c r="S501" s="27">
        <f t="shared" si="210"/>
        <v>12.61196721</v>
      </c>
      <c r="T501" s="6" t="s">
        <v>40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6.5" customHeight="1">
      <c r="A502" s="7" t="b">
        <v>0</v>
      </c>
      <c r="B502" s="6" t="s">
        <v>90</v>
      </c>
      <c r="C502" s="6" t="s">
        <v>1050</v>
      </c>
      <c r="D502" s="6" t="s">
        <v>1051</v>
      </c>
      <c r="E502" s="6" t="s">
        <v>316</v>
      </c>
      <c r="F502" s="8" t="s">
        <v>70</v>
      </c>
      <c r="G502" s="6" t="s">
        <v>52</v>
      </c>
      <c r="H502" s="19">
        <v>50000.0</v>
      </c>
      <c r="I502" s="10" t="s">
        <v>27</v>
      </c>
      <c r="J502" s="22">
        <v>181.0</v>
      </c>
      <c r="K502" s="22">
        <v>120.0</v>
      </c>
      <c r="L502" s="22">
        <v>2060.0</v>
      </c>
      <c r="M502" s="23">
        <v>0.45</v>
      </c>
      <c r="N502" s="24">
        <v>0.93</v>
      </c>
      <c r="O502" s="26" t="s">
        <v>71</v>
      </c>
      <c r="P502" s="26" t="s">
        <v>77</v>
      </c>
      <c r="Q502" s="27">
        <f t="shared" si="208"/>
        <v>11.38121547</v>
      </c>
      <c r="R502" s="23">
        <f t="shared" si="209"/>
        <v>0.05</v>
      </c>
      <c r="S502" s="27">
        <f t="shared" si="210"/>
        <v>11.95027624</v>
      </c>
      <c r="T502" s="6" t="s">
        <v>40</v>
      </c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6.5" customHeight="1">
      <c r="A503" s="7" t="b">
        <v>0</v>
      </c>
      <c r="B503" s="6" t="s">
        <v>90</v>
      </c>
      <c r="C503" s="6" t="s">
        <v>1050</v>
      </c>
      <c r="D503" s="6" t="s">
        <v>1052</v>
      </c>
      <c r="E503" s="6" t="s">
        <v>316</v>
      </c>
      <c r="F503" s="8" t="s">
        <v>1053</v>
      </c>
      <c r="G503" s="6" t="s">
        <v>52</v>
      </c>
      <c r="H503" s="19">
        <v>34000.0</v>
      </c>
      <c r="I503" s="10" t="s">
        <v>27</v>
      </c>
      <c r="J503" s="22">
        <v>181.0</v>
      </c>
      <c r="K503" s="22">
        <v>120.0</v>
      </c>
      <c r="L503" s="22">
        <v>1870.0</v>
      </c>
      <c r="M503" s="23">
        <v>0.45</v>
      </c>
      <c r="N503" s="24">
        <v>0.93</v>
      </c>
      <c r="O503" s="26" t="s">
        <v>71</v>
      </c>
      <c r="P503" s="26" t="s">
        <v>77</v>
      </c>
      <c r="Q503" s="27">
        <f t="shared" si="208"/>
        <v>10.33149171</v>
      </c>
      <c r="R503" s="23">
        <f t="shared" si="209"/>
        <v>0.05</v>
      </c>
      <c r="S503" s="27">
        <f t="shared" si="210"/>
        <v>10.8480663</v>
      </c>
      <c r="T503" s="6" t="s">
        <v>122</v>
      </c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6.5" customHeight="1">
      <c r="A504" s="7" t="b">
        <v>0</v>
      </c>
      <c r="B504" s="6" t="s">
        <v>519</v>
      </c>
      <c r="C504" s="6" t="s">
        <v>1054</v>
      </c>
      <c r="D504" s="6" t="s">
        <v>1055</v>
      </c>
      <c r="E504" s="6" t="s">
        <v>331</v>
      </c>
      <c r="F504" s="17" t="s">
        <v>1056</v>
      </c>
      <c r="G504" s="6" t="s">
        <v>52</v>
      </c>
      <c r="H504" s="19">
        <v>60000.0</v>
      </c>
      <c r="I504" s="10" t="s">
        <v>27</v>
      </c>
      <c r="J504" s="22">
        <v>201.0</v>
      </c>
      <c r="K504" s="22">
        <v>325.0</v>
      </c>
      <c r="L504" s="22">
        <v>3800.0</v>
      </c>
      <c r="M504" s="23">
        <v>0.58</v>
      </c>
      <c r="N504" s="24">
        <v>6.6</v>
      </c>
      <c r="O504" s="26" t="s">
        <v>29</v>
      </c>
      <c r="P504" s="26" t="s">
        <v>30</v>
      </c>
      <c r="Q504" s="27">
        <f t="shared" si="208"/>
        <v>18.90547264</v>
      </c>
      <c r="R504" s="23">
        <f t="shared" si="209"/>
        <v>0.08</v>
      </c>
      <c r="S504" s="27">
        <f t="shared" si="210"/>
        <v>20.41791045</v>
      </c>
      <c r="T504" s="6" t="s">
        <v>40</v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6.5" customHeight="1">
      <c r="A505" s="7" t="b">
        <v>0</v>
      </c>
      <c r="B505" s="6" t="s">
        <v>299</v>
      </c>
      <c r="C505" s="6" t="s">
        <v>1054</v>
      </c>
      <c r="D505" s="6" t="s">
        <v>1057</v>
      </c>
      <c r="E505" s="6" t="s">
        <v>302</v>
      </c>
      <c r="F505" s="17" t="s">
        <v>1058</v>
      </c>
      <c r="G505" s="6" t="s">
        <v>52</v>
      </c>
      <c r="H505" s="19">
        <v>25000.0</v>
      </c>
      <c r="I505" s="20" t="s">
        <v>33</v>
      </c>
      <c r="J505" s="22">
        <v>210.0</v>
      </c>
      <c r="K505" s="22">
        <v>315.0</v>
      </c>
      <c r="L505" s="22">
        <v>3483.0</v>
      </c>
      <c r="M505" s="23">
        <v>0.57</v>
      </c>
      <c r="N505" s="24">
        <v>5.73</v>
      </c>
      <c r="O505" s="26" t="s">
        <v>29</v>
      </c>
      <c r="P505" s="26" t="s">
        <v>30</v>
      </c>
      <c r="Q505" s="27">
        <f t="shared" si="208"/>
        <v>16.58571429</v>
      </c>
      <c r="R505" s="23">
        <f t="shared" si="209"/>
        <v>0.07</v>
      </c>
      <c r="S505" s="27">
        <f t="shared" si="210"/>
        <v>17.74671429</v>
      </c>
      <c r="T505" s="6" t="s">
        <v>40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6.5" customHeight="1">
      <c r="A506" s="7" t="b">
        <v>0</v>
      </c>
      <c r="B506" s="6" t="s">
        <v>573</v>
      </c>
      <c r="C506" s="6" t="s">
        <v>1059</v>
      </c>
      <c r="D506" s="6" t="s">
        <v>1060</v>
      </c>
      <c r="E506" s="6" t="s">
        <v>171</v>
      </c>
      <c r="F506" s="36" t="s">
        <v>802</v>
      </c>
      <c r="G506" s="6" t="s">
        <v>128</v>
      </c>
      <c r="H506" s="52">
        <v>1875000.0</v>
      </c>
      <c r="I506" s="35" t="s">
        <v>255</v>
      </c>
      <c r="J506" s="22">
        <v>394.0</v>
      </c>
      <c r="K506" s="22">
        <v>320.0</v>
      </c>
      <c r="L506" s="22">
        <v>3322.0</v>
      </c>
      <c r="M506" s="23">
        <v>0.44</v>
      </c>
      <c r="N506" s="24">
        <v>2.85</v>
      </c>
      <c r="O506" s="26" t="s">
        <v>71</v>
      </c>
      <c r="P506" s="26" t="s">
        <v>29</v>
      </c>
      <c r="Q506" s="27">
        <f t="shared" si="208"/>
        <v>8.431472081</v>
      </c>
      <c r="R506" s="23">
        <f t="shared" si="209"/>
        <v>0.06</v>
      </c>
      <c r="S506" s="27">
        <f t="shared" si="210"/>
        <v>8.937360406</v>
      </c>
      <c r="T506" s="6" t="s">
        <v>40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6.5" customHeight="1">
      <c r="A507" s="7" t="b">
        <v>0</v>
      </c>
      <c r="B507" s="37" t="s">
        <v>299</v>
      </c>
      <c r="C507" s="37" t="s">
        <v>1059</v>
      </c>
      <c r="D507" s="37" t="s">
        <v>1061</v>
      </c>
      <c r="E507" s="37" t="s">
        <v>106</v>
      </c>
      <c r="F507" s="50" t="s">
        <v>464</v>
      </c>
      <c r="G507" s="37" t="s">
        <v>128</v>
      </c>
      <c r="H507" s="38">
        <v>1500000.0</v>
      </c>
      <c r="I507" s="35" t="s">
        <v>76</v>
      </c>
      <c r="J507" s="39">
        <v>632.0</v>
      </c>
      <c r="K507" s="39">
        <v>464.0</v>
      </c>
      <c r="L507" s="39">
        <v>2535.0</v>
      </c>
      <c r="M507" s="40">
        <v>0.43</v>
      </c>
      <c r="N507" s="41">
        <v>2.85</v>
      </c>
      <c r="O507" s="42" t="s">
        <v>71</v>
      </c>
      <c r="P507" s="43" t="s">
        <v>29</v>
      </c>
      <c r="Q507" s="44">
        <f t="shared" si="208"/>
        <v>4.011075949</v>
      </c>
      <c r="R507" s="45">
        <f t="shared" si="209"/>
        <v>0.07</v>
      </c>
      <c r="S507" s="44">
        <f t="shared" si="210"/>
        <v>4.291851266</v>
      </c>
      <c r="T507" s="37" t="s">
        <v>88</v>
      </c>
      <c r="U507" s="37" t="s">
        <v>89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6.5" customHeight="1">
      <c r="A508" s="7" t="b">
        <v>0</v>
      </c>
      <c r="B508" s="6" t="s">
        <v>334</v>
      </c>
      <c r="C508" s="6" t="s">
        <v>1059</v>
      </c>
      <c r="D508" s="6" t="s">
        <v>1062</v>
      </c>
      <c r="E508" s="6" t="s">
        <v>74</v>
      </c>
      <c r="F508" s="32" t="s">
        <v>1063</v>
      </c>
      <c r="G508" s="6" t="s">
        <v>128</v>
      </c>
      <c r="H508" s="19">
        <v>494000.0</v>
      </c>
      <c r="I508" s="35" t="s">
        <v>76</v>
      </c>
      <c r="J508" s="22">
        <v>601.0</v>
      </c>
      <c r="K508" s="22">
        <v>415.0</v>
      </c>
      <c r="L508" s="22">
        <v>2044.0</v>
      </c>
      <c r="M508" s="23">
        <v>0.36</v>
      </c>
      <c r="N508" s="24">
        <v>4.96</v>
      </c>
      <c r="O508" s="26" t="s">
        <v>29</v>
      </c>
      <c r="P508" s="26" t="s">
        <v>77</v>
      </c>
      <c r="Q508" s="27">
        <f t="shared" si="208"/>
        <v>3.400998336</v>
      </c>
      <c r="R508" s="23">
        <f t="shared" si="209"/>
        <v>0.14</v>
      </c>
      <c r="S508" s="27">
        <f t="shared" si="210"/>
        <v>3.877138103</v>
      </c>
      <c r="T508" s="6" t="s">
        <v>122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6.5" customHeight="1">
      <c r="A509" s="7" t="b">
        <v>0</v>
      </c>
      <c r="B509" s="5" t="s">
        <v>334</v>
      </c>
      <c r="C509" s="5" t="s">
        <v>1059</v>
      </c>
      <c r="D509" s="5" t="s">
        <v>1064</v>
      </c>
      <c r="E509" s="5" t="s">
        <v>126</v>
      </c>
      <c r="F509" s="49" t="s">
        <v>494</v>
      </c>
      <c r="G509" s="5" t="s">
        <v>128</v>
      </c>
      <c r="H509" s="9">
        <v>1000000.0</v>
      </c>
      <c r="I509" s="35" t="s">
        <v>76</v>
      </c>
      <c r="J509" s="9"/>
      <c r="K509" s="9"/>
      <c r="L509" s="9"/>
      <c r="M509" s="28"/>
      <c r="N509" s="29"/>
      <c r="O509" s="30"/>
      <c r="P509" s="30"/>
      <c r="Q509" s="16"/>
      <c r="R509" s="18"/>
      <c r="S509" s="16"/>
      <c r="T509" s="5" t="s">
        <v>129</v>
      </c>
      <c r="U509" s="21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6.5" customHeight="1">
      <c r="A510" s="7" t="b">
        <v>0</v>
      </c>
      <c r="B510" s="6" t="s">
        <v>123</v>
      </c>
      <c r="C510" s="6" t="s">
        <v>1059</v>
      </c>
      <c r="D510" s="6" t="s">
        <v>1065</v>
      </c>
      <c r="E510" s="6" t="s">
        <v>126</v>
      </c>
      <c r="F510" s="50" t="s">
        <v>1066</v>
      </c>
      <c r="G510" s="6" t="s">
        <v>128</v>
      </c>
      <c r="H510" s="19"/>
      <c r="I510" s="48"/>
      <c r="J510" s="22">
        <v>691.0</v>
      </c>
      <c r="K510" s="22">
        <v>550.0</v>
      </c>
      <c r="L510" s="22">
        <v>3042.0</v>
      </c>
      <c r="M510" s="23">
        <v>0.43</v>
      </c>
      <c r="N510" s="24">
        <v>3.8</v>
      </c>
      <c r="O510" s="26" t="s">
        <v>29</v>
      </c>
      <c r="P510" s="26" t="s">
        <v>29</v>
      </c>
      <c r="Q510" s="27">
        <f t="shared" ref="Q510:Q515" si="211">L510/J510</f>
        <v>4.402315485</v>
      </c>
      <c r="R510" s="23">
        <f t="shared" ref="R510:R515" si="212">0+((ABS(0.5-M510)*1))</f>
        <v>0.07</v>
      </c>
      <c r="S510" s="27">
        <f t="shared" ref="S510:S515" si="213">Q510*(R510+1)</f>
        <v>4.710477569</v>
      </c>
      <c r="T510" s="6" t="s">
        <v>40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6.5" customHeight="1">
      <c r="A511" s="7" t="b">
        <v>0</v>
      </c>
      <c r="B511" s="6" t="s">
        <v>58</v>
      </c>
      <c r="C511" s="6" t="s">
        <v>1059</v>
      </c>
      <c r="D511" s="6" t="s">
        <v>1067</v>
      </c>
      <c r="E511" s="6" t="s">
        <v>231</v>
      </c>
      <c r="F511" s="32" t="s">
        <v>351</v>
      </c>
      <c r="G511" s="6" t="s">
        <v>128</v>
      </c>
      <c r="H511" s="19">
        <v>1600000.0</v>
      </c>
      <c r="I511" s="35" t="s">
        <v>76</v>
      </c>
      <c r="J511" s="22">
        <v>493.0</v>
      </c>
      <c r="K511" s="22">
        <v>332.0</v>
      </c>
      <c r="L511" s="22">
        <v>3120.0</v>
      </c>
      <c r="M511" s="23">
        <v>0.45</v>
      </c>
      <c r="N511" s="24">
        <v>4.0</v>
      </c>
      <c r="O511" s="26" t="s">
        <v>29</v>
      </c>
      <c r="P511" s="26" t="s">
        <v>77</v>
      </c>
      <c r="Q511" s="27">
        <f t="shared" si="211"/>
        <v>6.328600406</v>
      </c>
      <c r="R511" s="23">
        <f t="shared" si="212"/>
        <v>0.05</v>
      </c>
      <c r="S511" s="27">
        <f t="shared" si="213"/>
        <v>6.645030426</v>
      </c>
      <c r="T511" s="6" t="s">
        <v>122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6.5" customHeight="1">
      <c r="A512" s="7" t="b">
        <v>0</v>
      </c>
      <c r="B512" s="6" t="s">
        <v>196</v>
      </c>
      <c r="C512" s="6" t="s">
        <v>1059</v>
      </c>
      <c r="D512" s="6" t="s">
        <v>1068</v>
      </c>
      <c r="E512" s="6" t="s">
        <v>24</v>
      </c>
      <c r="F512" s="36" t="s">
        <v>1069</v>
      </c>
      <c r="G512" s="6" t="s">
        <v>128</v>
      </c>
      <c r="H512" s="19">
        <v>190000.0</v>
      </c>
      <c r="I512" s="34" t="s">
        <v>62</v>
      </c>
      <c r="J512" s="22">
        <v>361.0</v>
      </c>
      <c r="K512" s="22">
        <v>317.0</v>
      </c>
      <c r="L512" s="22">
        <v>3135.0</v>
      </c>
      <c r="M512" s="23">
        <v>0.44</v>
      </c>
      <c r="N512" s="24">
        <v>2.5</v>
      </c>
      <c r="O512" s="26" t="s">
        <v>29</v>
      </c>
      <c r="P512" s="26" t="s">
        <v>77</v>
      </c>
      <c r="Q512" s="27">
        <f t="shared" si="211"/>
        <v>8.684210526</v>
      </c>
      <c r="R512" s="23">
        <f t="shared" si="212"/>
        <v>0.06</v>
      </c>
      <c r="S512" s="27">
        <f t="shared" si="213"/>
        <v>9.205263158</v>
      </c>
      <c r="T512" s="6" t="s">
        <v>40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6.5" customHeight="1">
      <c r="A513" s="7" t="b">
        <v>0</v>
      </c>
      <c r="B513" s="6" t="s">
        <v>238</v>
      </c>
      <c r="C513" s="6" t="s">
        <v>1059</v>
      </c>
      <c r="D513" s="6" t="s">
        <v>1070</v>
      </c>
      <c r="E513" s="6" t="s">
        <v>99</v>
      </c>
      <c r="F513" s="8" t="s">
        <v>1071</v>
      </c>
      <c r="G513" s="6" t="s">
        <v>128</v>
      </c>
      <c r="H513" s="19">
        <v>75000.0</v>
      </c>
      <c r="I513" s="34" t="s">
        <v>62</v>
      </c>
      <c r="J513" s="22">
        <v>207.0</v>
      </c>
      <c r="K513" s="22">
        <v>188.0</v>
      </c>
      <c r="L513" s="22">
        <v>2450.0</v>
      </c>
      <c r="M513" s="23">
        <v>0.41</v>
      </c>
      <c r="N513" s="24">
        <v>2.69</v>
      </c>
      <c r="O513" s="26" t="s">
        <v>29</v>
      </c>
      <c r="P513" s="26" t="s">
        <v>29</v>
      </c>
      <c r="Q513" s="27">
        <f t="shared" si="211"/>
        <v>11.83574879</v>
      </c>
      <c r="R513" s="23">
        <f t="shared" si="212"/>
        <v>0.09</v>
      </c>
      <c r="S513" s="27">
        <f t="shared" si="213"/>
        <v>12.90096618</v>
      </c>
      <c r="T513" s="6" t="s">
        <v>40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6.5" customHeight="1">
      <c r="A514" s="7" t="b">
        <v>0</v>
      </c>
      <c r="B514" s="6" t="s">
        <v>123</v>
      </c>
      <c r="C514" s="6" t="s">
        <v>1059</v>
      </c>
      <c r="D514" s="6" t="s">
        <v>1072</v>
      </c>
      <c r="E514" s="6" t="s">
        <v>24</v>
      </c>
      <c r="F514" s="32" t="s">
        <v>504</v>
      </c>
      <c r="G514" s="6" t="s">
        <v>128</v>
      </c>
      <c r="H514" s="19">
        <v>1050000.0</v>
      </c>
      <c r="I514" s="35" t="s">
        <v>76</v>
      </c>
      <c r="J514" s="22">
        <v>444.0</v>
      </c>
      <c r="K514" s="22">
        <v>391.0</v>
      </c>
      <c r="L514" s="22">
        <v>3340.0</v>
      </c>
      <c r="M514" s="23">
        <v>0.45</v>
      </c>
      <c r="N514" s="24">
        <v>2.98</v>
      </c>
      <c r="O514" s="26" t="s">
        <v>29</v>
      </c>
      <c r="P514" s="26" t="s">
        <v>29</v>
      </c>
      <c r="Q514" s="27">
        <f t="shared" si="211"/>
        <v>7.522522523</v>
      </c>
      <c r="R514" s="23">
        <f t="shared" si="212"/>
        <v>0.05</v>
      </c>
      <c r="S514" s="27">
        <f t="shared" si="213"/>
        <v>7.898648649</v>
      </c>
      <c r="T514" s="6" t="s">
        <v>40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6.5" customHeight="1">
      <c r="A515" s="7" t="b">
        <v>0</v>
      </c>
      <c r="B515" s="6" t="s">
        <v>266</v>
      </c>
      <c r="C515" s="6" t="s">
        <v>1059</v>
      </c>
      <c r="D515" s="6" t="s">
        <v>1073</v>
      </c>
      <c r="E515" s="6" t="s">
        <v>253</v>
      </c>
      <c r="F515" s="32" t="s">
        <v>1074</v>
      </c>
      <c r="G515" s="6" t="s">
        <v>128</v>
      </c>
      <c r="H515" s="19">
        <v>145000.0</v>
      </c>
      <c r="I515" s="10" t="s">
        <v>27</v>
      </c>
      <c r="J515" s="22">
        <v>536.0</v>
      </c>
      <c r="K515" s="22">
        <v>442.0</v>
      </c>
      <c r="L515" s="22">
        <v>2646.0</v>
      </c>
      <c r="M515" s="23">
        <v>0.48</v>
      </c>
      <c r="N515" s="24">
        <v>3.16</v>
      </c>
      <c r="O515" s="26" t="s">
        <v>29</v>
      </c>
      <c r="P515" s="26" t="s">
        <v>77</v>
      </c>
      <c r="Q515" s="27">
        <f t="shared" si="211"/>
        <v>4.936567164</v>
      </c>
      <c r="R515" s="23">
        <f t="shared" si="212"/>
        <v>0.02</v>
      </c>
      <c r="S515" s="27">
        <f t="shared" si="213"/>
        <v>5.035298507</v>
      </c>
      <c r="T515" s="6" t="s">
        <v>40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6.5" customHeight="1">
      <c r="A516" s="7" t="b">
        <v>0</v>
      </c>
      <c r="B516" s="5" t="s">
        <v>242</v>
      </c>
      <c r="C516" s="5" t="s">
        <v>1059</v>
      </c>
      <c r="D516" s="5" t="s">
        <v>1075</v>
      </c>
      <c r="E516" s="5" t="s">
        <v>253</v>
      </c>
      <c r="F516" s="36" t="s">
        <v>81</v>
      </c>
      <c r="G516" s="5" t="s">
        <v>128</v>
      </c>
      <c r="H516" s="9">
        <v>4000000.0</v>
      </c>
      <c r="I516" s="35" t="s">
        <v>76</v>
      </c>
      <c r="J516" s="9"/>
      <c r="K516" s="9"/>
      <c r="L516" s="9"/>
      <c r="M516" s="28"/>
      <c r="N516" s="29"/>
      <c r="O516" s="30"/>
      <c r="P516" s="30"/>
      <c r="Q516" s="16"/>
      <c r="R516" s="18"/>
      <c r="S516" s="16"/>
      <c r="T516" s="5" t="s">
        <v>129</v>
      </c>
      <c r="U516" s="21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6.5" customHeight="1">
      <c r="A517" s="7" t="b">
        <v>0</v>
      </c>
      <c r="B517" s="6" t="s">
        <v>196</v>
      </c>
      <c r="C517" s="6" t="s">
        <v>1059</v>
      </c>
      <c r="D517" s="6" t="s">
        <v>1076</v>
      </c>
      <c r="E517" s="6" t="s">
        <v>231</v>
      </c>
      <c r="F517" s="50" t="s">
        <v>458</v>
      </c>
      <c r="G517" s="6" t="s">
        <v>128</v>
      </c>
      <c r="H517" s="19"/>
      <c r="I517" s="48"/>
      <c r="J517" s="22">
        <v>691.0</v>
      </c>
      <c r="K517" s="22">
        <v>553.0</v>
      </c>
      <c r="L517" s="22">
        <v>3197.0</v>
      </c>
      <c r="M517" s="23">
        <v>0.4</v>
      </c>
      <c r="N517" s="24">
        <v>3.8</v>
      </c>
      <c r="O517" s="26" t="s">
        <v>29</v>
      </c>
      <c r="P517" s="26" t="s">
        <v>29</v>
      </c>
      <c r="Q517" s="27">
        <f t="shared" ref="Q517:Q519" si="214">L517/J517</f>
        <v>4.626628075</v>
      </c>
      <c r="R517" s="23">
        <f t="shared" ref="R517:R519" si="215">0+((ABS(0.5-M517)*1))</f>
        <v>0.1</v>
      </c>
      <c r="S517" s="27">
        <f t="shared" ref="S517:S519" si="216">Q517*(R517+1)</f>
        <v>5.089290883</v>
      </c>
      <c r="T517" s="6" t="s">
        <v>40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6.5" customHeight="1">
      <c r="A518" s="7" t="b">
        <v>0</v>
      </c>
      <c r="B518" s="6" t="s">
        <v>648</v>
      </c>
      <c r="C518" s="6" t="s">
        <v>1059</v>
      </c>
      <c r="D518" s="6" t="s">
        <v>1077</v>
      </c>
      <c r="E518" s="6" t="s">
        <v>253</v>
      </c>
      <c r="F518" s="36" t="s">
        <v>879</v>
      </c>
      <c r="G518" s="6" t="s">
        <v>128</v>
      </c>
      <c r="H518" s="19">
        <v>550000.0</v>
      </c>
      <c r="I518" s="34" t="s">
        <v>62</v>
      </c>
      <c r="J518" s="22">
        <v>381.0</v>
      </c>
      <c r="K518" s="22">
        <v>284.0</v>
      </c>
      <c r="L518" s="22">
        <v>3160.0</v>
      </c>
      <c r="M518" s="23">
        <v>0.38</v>
      </c>
      <c r="N518" s="24">
        <v>3.6</v>
      </c>
      <c r="O518" s="26" t="s">
        <v>29</v>
      </c>
      <c r="P518" s="26" t="s">
        <v>77</v>
      </c>
      <c r="Q518" s="27">
        <f t="shared" si="214"/>
        <v>8.293963255</v>
      </c>
      <c r="R518" s="23">
        <f t="shared" si="215"/>
        <v>0.12</v>
      </c>
      <c r="S518" s="27">
        <f t="shared" si="216"/>
        <v>9.289238845</v>
      </c>
      <c r="T518" s="6" t="s">
        <v>40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6.5" customHeight="1">
      <c r="A519" s="7" t="b">
        <v>0</v>
      </c>
      <c r="B519" s="6" t="s">
        <v>90</v>
      </c>
      <c r="C519" s="6" t="s">
        <v>1059</v>
      </c>
      <c r="D519" s="6" t="s">
        <v>1077</v>
      </c>
      <c r="E519" s="6" t="s">
        <v>231</v>
      </c>
      <c r="F519" s="32" t="s">
        <v>613</v>
      </c>
      <c r="G519" s="6" t="s">
        <v>128</v>
      </c>
      <c r="H519" s="19">
        <v>135000.0</v>
      </c>
      <c r="I519" s="10" t="s">
        <v>27</v>
      </c>
      <c r="J519" s="22">
        <v>503.0</v>
      </c>
      <c r="K519" s="22">
        <v>346.0</v>
      </c>
      <c r="L519" s="22">
        <v>3164.0</v>
      </c>
      <c r="M519" s="23">
        <v>0.39</v>
      </c>
      <c r="N519" s="24">
        <v>4.0</v>
      </c>
      <c r="O519" s="26" t="s">
        <v>29</v>
      </c>
      <c r="P519" s="26" t="s">
        <v>29</v>
      </c>
      <c r="Q519" s="27">
        <f t="shared" si="214"/>
        <v>6.290258449</v>
      </c>
      <c r="R519" s="23">
        <f t="shared" si="215"/>
        <v>0.11</v>
      </c>
      <c r="S519" s="27">
        <f t="shared" si="216"/>
        <v>6.982186879</v>
      </c>
      <c r="T519" s="6" t="s">
        <v>40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6.5" customHeight="1">
      <c r="A520" s="7" t="b">
        <v>0</v>
      </c>
      <c r="B520" s="5" t="s">
        <v>123</v>
      </c>
      <c r="C520" s="5" t="s">
        <v>1059</v>
      </c>
      <c r="D520" s="5" t="s">
        <v>1078</v>
      </c>
      <c r="E520" s="5" t="s">
        <v>231</v>
      </c>
      <c r="F520" s="32" t="s">
        <v>606</v>
      </c>
      <c r="G520" s="5" t="s">
        <v>128</v>
      </c>
      <c r="H520" s="9">
        <v>260000.0</v>
      </c>
      <c r="I520" s="34" t="s">
        <v>62</v>
      </c>
      <c r="J520" s="9"/>
      <c r="K520" s="9"/>
      <c r="L520" s="9"/>
      <c r="M520" s="28"/>
      <c r="N520" s="29"/>
      <c r="O520" s="30"/>
      <c r="P520" s="30"/>
      <c r="Q520" s="16"/>
      <c r="R520" s="18"/>
      <c r="S520" s="16"/>
      <c r="T520" s="5" t="s">
        <v>129</v>
      </c>
      <c r="U520" s="21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6.5" customHeight="1">
      <c r="A521" s="7" t="b">
        <v>0</v>
      </c>
      <c r="B521" s="6" t="s">
        <v>48</v>
      </c>
      <c r="C521" s="6" t="s">
        <v>1059</v>
      </c>
      <c r="D521" s="6" t="s">
        <v>1078</v>
      </c>
      <c r="E521" s="6" t="s">
        <v>231</v>
      </c>
      <c r="F521" s="32" t="s">
        <v>1079</v>
      </c>
      <c r="G521" s="6" t="s">
        <v>128</v>
      </c>
      <c r="H521" s="19"/>
      <c r="I521" s="48"/>
      <c r="J521" s="22">
        <v>518.0</v>
      </c>
      <c r="K521" s="22">
        <v>343.0</v>
      </c>
      <c r="L521" s="22">
        <v>3197.0</v>
      </c>
      <c r="M521" s="23">
        <v>0.39</v>
      </c>
      <c r="N521" s="24">
        <v>4.0</v>
      </c>
      <c r="O521" s="26" t="s">
        <v>29</v>
      </c>
      <c r="P521" s="26" t="s">
        <v>29</v>
      </c>
      <c r="Q521" s="27">
        <f t="shared" ref="Q521:Q522" si="217">L521/J521</f>
        <v>6.171814672</v>
      </c>
      <c r="R521" s="23">
        <f t="shared" ref="R521:R522" si="218">0+((ABS(0.5-M521)*1))</f>
        <v>0.11</v>
      </c>
      <c r="S521" s="27">
        <f t="shared" ref="S521:S522" si="219">Q521*(R521+1)</f>
        <v>6.850714286</v>
      </c>
      <c r="T521" s="6" t="s">
        <v>40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6.5" customHeight="1">
      <c r="A522" s="7" t="b">
        <v>0</v>
      </c>
      <c r="B522" s="6" t="s">
        <v>285</v>
      </c>
      <c r="C522" s="6" t="s">
        <v>1059</v>
      </c>
      <c r="D522" s="6" t="s">
        <v>1080</v>
      </c>
      <c r="E522" s="6" t="s">
        <v>231</v>
      </c>
      <c r="F522" s="32" t="s">
        <v>172</v>
      </c>
      <c r="G522" s="6" t="s">
        <v>128</v>
      </c>
      <c r="H522" s="19">
        <v>424000.0</v>
      </c>
      <c r="I522" s="34" t="s">
        <v>62</v>
      </c>
      <c r="J522" s="22">
        <v>493.0</v>
      </c>
      <c r="K522" s="22">
        <v>339.0</v>
      </c>
      <c r="L522" s="22">
        <v>2998.0</v>
      </c>
      <c r="M522" s="23">
        <v>0.4</v>
      </c>
      <c r="N522" s="24">
        <v>4.0</v>
      </c>
      <c r="O522" s="26" t="s">
        <v>29</v>
      </c>
      <c r="P522" s="26" t="s">
        <v>29</v>
      </c>
      <c r="Q522" s="27">
        <f t="shared" si="217"/>
        <v>6.081135903</v>
      </c>
      <c r="R522" s="23">
        <f t="shared" si="218"/>
        <v>0.1</v>
      </c>
      <c r="S522" s="27">
        <f t="shared" si="219"/>
        <v>6.689249493</v>
      </c>
      <c r="T522" s="6" t="s">
        <v>122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6.5" customHeight="1">
      <c r="A523" s="7" t="b">
        <v>0</v>
      </c>
      <c r="B523" s="5" t="s">
        <v>48</v>
      </c>
      <c r="C523" s="5" t="s">
        <v>1059</v>
      </c>
      <c r="D523" s="5" t="s">
        <v>1081</v>
      </c>
      <c r="E523" s="5" t="s">
        <v>171</v>
      </c>
      <c r="F523" s="36" t="s">
        <v>262</v>
      </c>
      <c r="G523" s="5" t="s">
        <v>128</v>
      </c>
      <c r="H523" s="9">
        <v>930000.0</v>
      </c>
      <c r="I523" s="34" t="s">
        <v>62</v>
      </c>
      <c r="J523" s="9"/>
      <c r="K523" s="9"/>
      <c r="L523" s="9"/>
      <c r="M523" s="28"/>
      <c r="N523" s="29"/>
      <c r="O523" s="30"/>
      <c r="P523" s="30"/>
      <c r="Q523" s="16"/>
      <c r="R523" s="18"/>
      <c r="S523" s="16"/>
      <c r="T523" s="5" t="s">
        <v>34</v>
      </c>
      <c r="U523" s="21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6.5" customHeight="1">
      <c r="A524" s="7" t="b">
        <v>0</v>
      </c>
      <c r="B524" s="5" t="s">
        <v>402</v>
      </c>
      <c r="C524" s="5" t="s">
        <v>1059</v>
      </c>
      <c r="D524" s="5" t="s">
        <v>1082</v>
      </c>
      <c r="E524" s="5" t="s">
        <v>253</v>
      </c>
      <c r="F524" s="25" t="s">
        <v>1083</v>
      </c>
      <c r="G524" s="5" t="s">
        <v>128</v>
      </c>
      <c r="H524" s="9"/>
      <c r="I524" s="48"/>
      <c r="J524" s="9"/>
      <c r="K524" s="9"/>
      <c r="L524" s="9"/>
      <c r="M524" s="28"/>
      <c r="N524" s="29"/>
      <c r="O524" s="30"/>
      <c r="P524" s="30"/>
      <c r="Q524" s="16"/>
      <c r="R524" s="18"/>
      <c r="S524" s="16"/>
      <c r="T524" s="5" t="s">
        <v>256</v>
      </c>
      <c r="U524" s="21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6.5" customHeight="1">
      <c r="A525" s="7" t="b">
        <v>0</v>
      </c>
      <c r="B525" s="6" t="s">
        <v>48</v>
      </c>
      <c r="C525" s="6" t="s">
        <v>1059</v>
      </c>
      <c r="D525" s="6" t="s">
        <v>1084</v>
      </c>
      <c r="E525" s="6" t="s">
        <v>60</v>
      </c>
      <c r="F525" s="32" t="s">
        <v>460</v>
      </c>
      <c r="G525" s="6" t="s">
        <v>128</v>
      </c>
      <c r="H525" s="52">
        <v>240000.0</v>
      </c>
      <c r="I525" s="35" t="s">
        <v>678</v>
      </c>
      <c r="J525" s="22">
        <v>641.0</v>
      </c>
      <c r="K525" s="22">
        <v>590.0</v>
      </c>
      <c r="L525" s="22">
        <v>3450.0</v>
      </c>
      <c r="M525" s="23">
        <v>0.38</v>
      </c>
      <c r="N525" s="24">
        <v>3.75</v>
      </c>
      <c r="O525" s="26" t="s">
        <v>71</v>
      </c>
      <c r="P525" s="26" t="s">
        <v>29</v>
      </c>
      <c r="Q525" s="27">
        <f>L525/J525</f>
        <v>5.382215289</v>
      </c>
      <c r="R525" s="23">
        <f>0+((ABS(0.5-M525)*1))</f>
        <v>0.12</v>
      </c>
      <c r="S525" s="27">
        <f>Q525*(R525+1)</f>
        <v>6.028081123</v>
      </c>
      <c r="T525" s="6" t="s">
        <v>40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6.5" customHeight="1">
      <c r="A526" s="7" t="b">
        <v>0</v>
      </c>
      <c r="B526" s="5" t="s">
        <v>223</v>
      </c>
      <c r="C526" s="5" t="s">
        <v>1059</v>
      </c>
      <c r="D526" s="5" t="s">
        <v>1085</v>
      </c>
      <c r="E526" s="5" t="s">
        <v>148</v>
      </c>
      <c r="F526" s="36" t="s">
        <v>286</v>
      </c>
      <c r="G526" s="5" t="s">
        <v>128</v>
      </c>
      <c r="H526" s="9">
        <v>275000.0</v>
      </c>
      <c r="I526" s="10" t="s">
        <v>27</v>
      </c>
      <c r="J526" s="9"/>
      <c r="K526" s="9"/>
      <c r="L526" s="9"/>
      <c r="M526" s="28"/>
      <c r="N526" s="29"/>
      <c r="O526" s="30"/>
      <c r="P526" s="30"/>
      <c r="Q526" s="16"/>
      <c r="R526" s="18"/>
      <c r="S526" s="16"/>
      <c r="T526" s="5" t="s">
        <v>34</v>
      </c>
      <c r="U526" s="21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6.5" customHeight="1">
      <c r="A527" s="7" t="b">
        <v>0</v>
      </c>
      <c r="B527" s="6" t="s">
        <v>79</v>
      </c>
      <c r="C527" s="6" t="s">
        <v>1059</v>
      </c>
      <c r="D527" s="6" t="s">
        <v>1086</v>
      </c>
      <c r="E527" s="6" t="s">
        <v>156</v>
      </c>
      <c r="F527" s="50" t="s">
        <v>961</v>
      </c>
      <c r="G527" s="6" t="s">
        <v>128</v>
      </c>
      <c r="H527" s="52">
        <v>600000.0</v>
      </c>
      <c r="I527" s="35" t="s">
        <v>76</v>
      </c>
      <c r="J527" s="22">
        <v>887.0</v>
      </c>
      <c r="K527" s="22">
        <v>829.0</v>
      </c>
      <c r="L527" s="22">
        <v>3692.0</v>
      </c>
      <c r="M527" s="23">
        <v>0.43</v>
      </c>
      <c r="N527" s="24">
        <v>4.59</v>
      </c>
      <c r="O527" s="26" t="s">
        <v>71</v>
      </c>
      <c r="P527" s="26" t="s">
        <v>77</v>
      </c>
      <c r="Q527" s="27">
        <f t="shared" ref="Q527:Q529" si="220">L527/J527</f>
        <v>4.162344983</v>
      </c>
      <c r="R527" s="23">
        <f t="shared" ref="R527:R529" si="221">0+((ABS(0.5-M527)*1))</f>
        <v>0.07</v>
      </c>
      <c r="S527" s="27">
        <f t="shared" ref="S527:S529" si="222">Q527*(R527+1)</f>
        <v>4.453709132</v>
      </c>
      <c r="T527" s="6" t="s">
        <v>122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6.5" customHeight="1">
      <c r="A528" s="7" t="b">
        <v>0</v>
      </c>
      <c r="B528" s="6" t="s">
        <v>223</v>
      </c>
      <c r="C528" s="6" t="s">
        <v>1059</v>
      </c>
      <c r="D528" s="6" t="s">
        <v>1087</v>
      </c>
      <c r="E528" s="6" t="s">
        <v>148</v>
      </c>
      <c r="F528" s="25" t="s">
        <v>548</v>
      </c>
      <c r="G528" s="6" t="s">
        <v>128</v>
      </c>
      <c r="H528" s="19">
        <v>2300000.0</v>
      </c>
      <c r="I528" s="35" t="s">
        <v>76</v>
      </c>
      <c r="J528" s="22">
        <v>345.0</v>
      </c>
      <c r="K528" s="22">
        <v>369.0</v>
      </c>
      <c r="L528" s="22">
        <v>3594.0</v>
      </c>
      <c r="M528" s="23">
        <v>0.5</v>
      </c>
      <c r="N528" s="24">
        <v>5.4</v>
      </c>
      <c r="O528" s="26" t="s">
        <v>29</v>
      </c>
      <c r="P528" s="26" t="s">
        <v>30</v>
      </c>
      <c r="Q528" s="27">
        <f t="shared" si="220"/>
        <v>10.4173913</v>
      </c>
      <c r="R528" s="23">
        <f t="shared" si="221"/>
        <v>0</v>
      </c>
      <c r="S528" s="27">
        <f t="shared" si="222"/>
        <v>10.4173913</v>
      </c>
      <c r="T528" s="6" t="s">
        <v>40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6.5" customHeight="1">
      <c r="A529" s="7" t="b">
        <v>0</v>
      </c>
      <c r="B529" s="6" t="s">
        <v>477</v>
      </c>
      <c r="C529" s="6" t="s">
        <v>1059</v>
      </c>
      <c r="D529" s="6" t="s">
        <v>1088</v>
      </c>
      <c r="E529" s="6" t="s">
        <v>148</v>
      </c>
      <c r="F529" s="25" t="s">
        <v>1089</v>
      </c>
      <c r="G529" s="6" t="s">
        <v>128</v>
      </c>
      <c r="H529" s="19">
        <v>150000.0</v>
      </c>
      <c r="I529" s="10" t="s">
        <v>27</v>
      </c>
      <c r="J529" s="22">
        <v>247.0</v>
      </c>
      <c r="K529" s="22">
        <v>258.0</v>
      </c>
      <c r="L529" s="22">
        <v>3115.0</v>
      </c>
      <c r="M529" s="23">
        <v>0.51</v>
      </c>
      <c r="N529" s="24">
        <v>2.48</v>
      </c>
      <c r="O529" s="26" t="s">
        <v>29</v>
      </c>
      <c r="P529" s="26" t="s">
        <v>30</v>
      </c>
      <c r="Q529" s="27">
        <f t="shared" si="220"/>
        <v>12.61133603</v>
      </c>
      <c r="R529" s="23">
        <f t="shared" si="221"/>
        <v>0.01</v>
      </c>
      <c r="S529" s="27">
        <f t="shared" si="222"/>
        <v>12.73744939</v>
      </c>
      <c r="T529" s="6" t="s">
        <v>40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6.5" customHeight="1">
      <c r="A530" s="7" t="b">
        <v>0</v>
      </c>
      <c r="B530" s="5" t="s">
        <v>299</v>
      </c>
      <c r="C530" s="5" t="s">
        <v>1059</v>
      </c>
      <c r="D530" s="5" t="s">
        <v>1090</v>
      </c>
      <c r="E530" s="5" t="s">
        <v>253</v>
      </c>
      <c r="F530" s="36" t="s">
        <v>1091</v>
      </c>
      <c r="G530" s="5" t="s">
        <v>128</v>
      </c>
      <c r="H530" s="9">
        <v>30000.0</v>
      </c>
      <c r="I530" s="10" t="s">
        <v>27</v>
      </c>
      <c r="J530" s="9"/>
      <c r="K530" s="9"/>
      <c r="L530" s="9"/>
      <c r="M530" s="28"/>
      <c r="N530" s="29"/>
      <c r="O530" s="30"/>
      <c r="P530" s="30"/>
      <c r="Q530" s="16"/>
      <c r="R530" s="18"/>
      <c r="S530" s="16"/>
      <c r="T530" s="5" t="s">
        <v>256</v>
      </c>
      <c r="U530" s="21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6.5" customHeight="1">
      <c r="A531" s="7" t="b">
        <v>0</v>
      </c>
      <c r="B531" s="6" t="s">
        <v>223</v>
      </c>
      <c r="C531" s="6" t="s">
        <v>1059</v>
      </c>
      <c r="D531" s="6" t="s">
        <v>1092</v>
      </c>
      <c r="E531" s="6" t="s">
        <v>148</v>
      </c>
      <c r="F531" s="25" t="s">
        <v>546</v>
      </c>
      <c r="G531" s="6" t="s">
        <v>128</v>
      </c>
      <c r="H531" s="19">
        <v>520000.0</v>
      </c>
      <c r="I531" s="10" t="s">
        <v>27</v>
      </c>
      <c r="J531" s="22">
        <v>305.0</v>
      </c>
      <c r="K531" s="22">
        <v>369.0</v>
      </c>
      <c r="L531" s="22">
        <v>2866.0</v>
      </c>
      <c r="M531" s="23">
        <v>0.51</v>
      </c>
      <c r="N531" s="24">
        <v>2.99</v>
      </c>
      <c r="O531" s="26" t="s">
        <v>29</v>
      </c>
      <c r="P531" s="26" t="s">
        <v>30</v>
      </c>
      <c r="Q531" s="27">
        <f>L531/J531</f>
        <v>9.396721311</v>
      </c>
      <c r="R531" s="23">
        <f>0+((ABS(0.5-M531)*1))</f>
        <v>0.01</v>
      </c>
      <c r="S531" s="27">
        <f>Q531*(R531+1)</f>
        <v>9.490688525</v>
      </c>
      <c r="T531" s="6" t="s">
        <v>40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6.5" customHeight="1">
      <c r="A532" s="7" t="b">
        <v>0</v>
      </c>
      <c r="B532" s="5" t="s">
        <v>146</v>
      </c>
      <c r="C532" s="5" t="s">
        <v>1059</v>
      </c>
      <c r="D532" s="5" t="s">
        <v>1093</v>
      </c>
      <c r="E532" s="5" t="s">
        <v>253</v>
      </c>
      <c r="F532" s="32" t="s">
        <v>1079</v>
      </c>
      <c r="G532" s="5" t="s">
        <v>128</v>
      </c>
      <c r="H532" s="9"/>
      <c r="I532" s="48"/>
      <c r="J532" s="9"/>
      <c r="K532" s="9"/>
      <c r="L532" s="9"/>
      <c r="M532" s="28"/>
      <c r="N532" s="29"/>
      <c r="O532" s="30"/>
      <c r="P532" s="30"/>
      <c r="Q532" s="16"/>
      <c r="R532" s="18"/>
      <c r="S532" s="16"/>
      <c r="T532" s="5" t="s">
        <v>103</v>
      </c>
      <c r="U532" s="21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6.5" customHeight="1">
      <c r="A533" s="7" t="b">
        <v>0</v>
      </c>
      <c r="B533" s="6" t="s">
        <v>196</v>
      </c>
      <c r="C533" s="6" t="s">
        <v>1059</v>
      </c>
      <c r="D533" s="6" t="s">
        <v>1094</v>
      </c>
      <c r="E533" s="6" t="s">
        <v>153</v>
      </c>
      <c r="F533" s="36" t="s">
        <v>1095</v>
      </c>
      <c r="G533" s="6" t="s">
        <v>128</v>
      </c>
      <c r="H533" s="19">
        <v>79000.0</v>
      </c>
      <c r="I533" s="34" t="s">
        <v>62</v>
      </c>
      <c r="J533" s="22">
        <v>550.0</v>
      </c>
      <c r="K533" s="22">
        <v>567.0</v>
      </c>
      <c r="L533" s="22">
        <v>4796.0</v>
      </c>
      <c r="M533" s="23">
        <v>0.52</v>
      </c>
      <c r="N533" s="24">
        <v>4.0</v>
      </c>
      <c r="O533" s="26" t="s">
        <v>71</v>
      </c>
      <c r="P533" s="26" t="s">
        <v>30</v>
      </c>
      <c r="Q533" s="27">
        <f t="shared" ref="Q533:Q541" si="223">L533/J533</f>
        <v>8.72</v>
      </c>
      <c r="R533" s="23">
        <f t="shared" ref="R533:R541" si="224">0+((ABS(0.5-M533)*1))</f>
        <v>0.02</v>
      </c>
      <c r="S533" s="27">
        <f t="shared" ref="S533:S541" si="225">Q533*(R533+1)</f>
        <v>8.8944</v>
      </c>
      <c r="T533" s="6" t="s">
        <v>40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6.5" customHeight="1">
      <c r="A534" s="7" t="b">
        <v>0</v>
      </c>
      <c r="B534" s="6" t="s">
        <v>268</v>
      </c>
      <c r="C534" s="6" t="s">
        <v>1059</v>
      </c>
      <c r="D534" s="6" t="s">
        <v>1096</v>
      </c>
      <c r="E534" s="6" t="s">
        <v>126</v>
      </c>
      <c r="F534" s="50" t="s">
        <v>1097</v>
      </c>
      <c r="G534" s="6" t="s">
        <v>128</v>
      </c>
      <c r="H534" s="19">
        <v>180000.0</v>
      </c>
      <c r="I534" s="34" t="s">
        <v>62</v>
      </c>
      <c r="J534" s="22">
        <v>510.0</v>
      </c>
      <c r="K534" s="22">
        <v>332.0</v>
      </c>
      <c r="L534" s="22">
        <v>2646.0</v>
      </c>
      <c r="M534" s="23">
        <v>0.44</v>
      </c>
      <c r="N534" s="24">
        <v>3.94</v>
      </c>
      <c r="O534" s="26" t="s">
        <v>29</v>
      </c>
      <c r="P534" s="26" t="s">
        <v>77</v>
      </c>
      <c r="Q534" s="27">
        <f t="shared" si="223"/>
        <v>5.188235294</v>
      </c>
      <c r="R534" s="23">
        <f t="shared" si="224"/>
        <v>0.06</v>
      </c>
      <c r="S534" s="27">
        <f t="shared" si="225"/>
        <v>5.499529412</v>
      </c>
      <c r="T534" s="6" t="s">
        <v>40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6.5" customHeight="1">
      <c r="A535" s="7" t="b">
        <v>0</v>
      </c>
      <c r="B535" s="6" t="s">
        <v>196</v>
      </c>
      <c r="C535" s="6" t="s">
        <v>1059</v>
      </c>
      <c r="D535" s="6" t="s">
        <v>1098</v>
      </c>
      <c r="E535" s="6" t="s">
        <v>514</v>
      </c>
      <c r="F535" s="25" t="s">
        <v>568</v>
      </c>
      <c r="G535" s="6" t="s">
        <v>128</v>
      </c>
      <c r="H535" s="19">
        <v>250000.0</v>
      </c>
      <c r="I535" s="34" t="s">
        <v>62</v>
      </c>
      <c r="J535" s="22">
        <v>360.0</v>
      </c>
      <c r="K535" s="22">
        <v>442.0</v>
      </c>
      <c r="L535" s="22">
        <v>3899.0</v>
      </c>
      <c r="M535" s="23">
        <v>0.53</v>
      </c>
      <c r="N535" s="24">
        <v>4.95</v>
      </c>
      <c r="O535" s="26" t="s">
        <v>71</v>
      </c>
      <c r="P535" s="26" t="s">
        <v>30</v>
      </c>
      <c r="Q535" s="27">
        <f t="shared" si="223"/>
        <v>10.83055556</v>
      </c>
      <c r="R535" s="23">
        <f t="shared" si="224"/>
        <v>0.03</v>
      </c>
      <c r="S535" s="27">
        <f t="shared" si="225"/>
        <v>11.15547222</v>
      </c>
      <c r="T535" s="6" t="s">
        <v>40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6.5" customHeight="1">
      <c r="A536" s="7" t="b">
        <v>0</v>
      </c>
      <c r="B536" s="6" t="s">
        <v>90</v>
      </c>
      <c r="C536" s="6" t="s">
        <v>1059</v>
      </c>
      <c r="D536" s="6" t="s">
        <v>1099</v>
      </c>
      <c r="E536" s="6" t="s">
        <v>126</v>
      </c>
      <c r="F536" s="50" t="s">
        <v>1100</v>
      </c>
      <c r="G536" s="6" t="s">
        <v>128</v>
      </c>
      <c r="H536" s="19">
        <v>5000000.0</v>
      </c>
      <c r="I536" s="35" t="s">
        <v>76</v>
      </c>
      <c r="J536" s="22">
        <v>671.0</v>
      </c>
      <c r="K536" s="22">
        <v>741.0</v>
      </c>
      <c r="L536" s="22">
        <v>3307.0</v>
      </c>
      <c r="M536" s="23">
        <v>0.4</v>
      </c>
      <c r="N536" s="24" t="s">
        <v>211</v>
      </c>
      <c r="O536" s="26" t="s">
        <v>71</v>
      </c>
      <c r="P536" s="26" t="s">
        <v>77</v>
      </c>
      <c r="Q536" s="27">
        <f t="shared" si="223"/>
        <v>4.928464978</v>
      </c>
      <c r="R536" s="23">
        <f t="shared" si="224"/>
        <v>0.1</v>
      </c>
      <c r="S536" s="27">
        <f t="shared" si="225"/>
        <v>5.421311475</v>
      </c>
      <c r="T536" s="6" t="s">
        <v>40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6.5" customHeight="1">
      <c r="A537" s="7" t="b">
        <v>0</v>
      </c>
      <c r="B537" s="6" t="s">
        <v>180</v>
      </c>
      <c r="C537" s="6" t="s">
        <v>1059</v>
      </c>
      <c r="D537" s="6" t="s">
        <v>1101</v>
      </c>
      <c r="E537" s="6" t="s">
        <v>92</v>
      </c>
      <c r="F537" s="32" t="s">
        <v>1102</v>
      </c>
      <c r="G537" s="6" t="s">
        <v>128</v>
      </c>
      <c r="H537" s="19">
        <v>200000.0</v>
      </c>
      <c r="I537" s="20" t="s">
        <v>33</v>
      </c>
      <c r="J537" s="22">
        <v>752.0</v>
      </c>
      <c r="K537" s="22">
        <v>774.0</v>
      </c>
      <c r="L537" s="22">
        <v>5121.0</v>
      </c>
      <c r="M537" s="23">
        <v>0.49</v>
      </c>
      <c r="N537" s="24" t="s">
        <v>211</v>
      </c>
      <c r="O537" s="26" t="s">
        <v>71</v>
      </c>
      <c r="P537" s="26" t="s">
        <v>29</v>
      </c>
      <c r="Q537" s="27">
        <f t="shared" si="223"/>
        <v>6.809840426</v>
      </c>
      <c r="R537" s="23">
        <f t="shared" si="224"/>
        <v>0.01</v>
      </c>
      <c r="S537" s="27">
        <f t="shared" si="225"/>
        <v>6.87793883</v>
      </c>
      <c r="T537" s="6" t="s">
        <v>40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6.5" customHeight="1">
      <c r="A538" s="7" t="b">
        <v>0</v>
      </c>
      <c r="B538" s="6" t="s">
        <v>116</v>
      </c>
      <c r="C538" s="6" t="s">
        <v>1103</v>
      </c>
      <c r="D538" s="6" t="s">
        <v>1104</v>
      </c>
      <c r="E538" s="6" t="s">
        <v>126</v>
      </c>
      <c r="F538" s="50" t="s">
        <v>1105</v>
      </c>
      <c r="G538" s="6" t="s">
        <v>134</v>
      </c>
      <c r="H538" s="19">
        <v>147000.0</v>
      </c>
      <c r="I538" s="34" t="s">
        <v>62</v>
      </c>
      <c r="J538" s="22">
        <v>454.0</v>
      </c>
      <c r="K538" s="22">
        <v>500.0</v>
      </c>
      <c r="L538" s="22">
        <v>2072.0</v>
      </c>
      <c r="M538" s="23">
        <v>0.41</v>
      </c>
      <c r="N538" s="24">
        <v>3.5</v>
      </c>
      <c r="O538" s="26" t="s">
        <v>29</v>
      </c>
      <c r="P538" s="26" t="s">
        <v>77</v>
      </c>
      <c r="Q538" s="27">
        <f t="shared" si="223"/>
        <v>4.563876652</v>
      </c>
      <c r="R538" s="23">
        <f t="shared" si="224"/>
        <v>0.09</v>
      </c>
      <c r="S538" s="27">
        <f t="shared" si="225"/>
        <v>4.974625551</v>
      </c>
      <c r="T538" s="6" t="s">
        <v>40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6.5" customHeight="1">
      <c r="A539" s="7" t="b">
        <v>0</v>
      </c>
      <c r="B539" s="6" t="s">
        <v>292</v>
      </c>
      <c r="C539" s="6" t="s">
        <v>1106</v>
      </c>
      <c r="D539" s="6" t="s">
        <v>1107</v>
      </c>
      <c r="E539" s="6" t="s">
        <v>374</v>
      </c>
      <c r="F539" s="25" t="s">
        <v>665</v>
      </c>
      <c r="G539" s="6" t="s">
        <v>52</v>
      </c>
      <c r="H539" s="19">
        <v>100000.0</v>
      </c>
      <c r="I539" s="20" t="s">
        <v>33</v>
      </c>
      <c r="J539" s="22">
        <v>702.0</v>
      </c>
      <c r="K539" s="22">
        <v>650.0</v>
      </c>
      <c r="L539" s="22">
        <v>6443.0</v>
      </c>
      <c r="M539" s="23">
        <v>0.59</v>
      </c>
      <c r="N539" s="24">
        <v>6.17</v>
      </c>
      <c r="O539" s="26" t="s">
        <v>71</v>
      </c>
      <c r="P539" s="26" t="s">
        <v>30</v>
      </c>
      <c r="Q539" s="27">
        <f t="shared" si="223"/>
        <v>9.178062678</v>
      </c>
      <c r="R539" s="23">
        <f t="shared" si="224"/>
        <v>0.09</v>
      </c>
      <c r="S539" s="27">
        <f t="shared" si="225"/>
        <v>10.00408832</v>
      </c>
      <c r="T539" s="6" t="s">
        <v>72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6.5" customHeight="1">
      <c r="A540" s="7" t="b">
        <v>0</v>
      </c>
      <c r="B540" s="6" t="s">
        <v>372</v>
      </c>
      <c r="C540" s="6" t="s">
        <v>1108</v>
      </c>
      <c r="D540" s="6" t="s">
        <v>1109</v>
      </c>
      <c r="E540" s="6" t="s">
        <v>366</v>
      </c>
      <c r="F540" s="17" t="s">
        <v>32</v>
      </c>
      <c r="G540" s="6" t="s">
        <v>134</v>
      </c>
      <c r="H540" s="19">
        <v>39000.0</v>
      </c>
      <c r="I540" s="20" t="s">
        <v>33</v>
      </c>
      <c r="J540" s="22">
        <v>32.0</v>
      </c>
      <c r="K540" s="22">
        <v>38.0</v>
      </c>
      <c r="L540" s="22">
        <v>1004.0</v>
      </c>
      <c r="M540" s="23">
        <v>0.44</v>
      </c>
      <c r="N540" s="24">
        <v>0.7</v>
      </c>
      <c r="O540" s="26" t="s">
        <v>29</v>
      </c>
      <c r="P540" s="26" t="s">
        <v>30</v>
      </c>
      <c r="Q540" s="27">
        <f t="shared" si="223"/>
        <v>31.375</v>
      </c>
      <c r="R540" s="23">
        <f t="shared" si="224"/>
        <v>0.06</v>
      </c>
      <c r="S540" s="27">
        <f t="shared" si="225"/>
        <v>33.2575</v>
      </c>
      <c r="T540" s="6" t="s">
        <v>40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6.5" customHeight="1">
      <c r="A541" s="7" t="b">
        <v>0</v>
      </c>
      <c r="B541" s="6" t="s">
        <v>44</v>
      </c>
      <c r="C541" s="6" t="s">
        <v>1110</v>
      </c>
      <c r="D541" s="6" t="s">
        <v>1111</v>
      </c>
      <c r="E541" s="6" t="s">
        <v>215</v>
      </c>
      <c r="F541" s="8" t="s">
        <v>416</v>
      </c>
      <c r="G541" s="6" t="s">
        <v>1039</v>
      </c>
      <c r="H541" s="19">
        <v>143000.0</v>
      </c>
      <c r="I541" s="10" t="s">
        <v>27</v>
      </c>
      <c r="J541" s="22">
        <v>156.0</v>
      </c>
      <c r="K541" s="22">
        <v>163.0</v>
      </c>
      <c r="L541" s="22">
        <v>2138.0</v>
      </c>
      <c r="M541" s="23">
        <v>0.4</v>
      </c>
      <c r="N541" s="24">
        <v>1.4</v>
      </c>
      <c r="O541" s="26" t="s">
        <v>29</v>
      </c>
      <c r="P541" s="26" t="s">
        <v>77</v>
      </c>
      <c r="Q541" s="27">
        <f t="shared" si="223"/>
        <v>13.70512821</v>
      </c>
      <c r="R541" s="23">
        <f t="shared" si="224"/>
        <v>0.1</v>
      </c>
      <c r="S541" s="27">
        <f t="shared" si="225"/>
        <v>15.07564103</v>
      </c>
      <c r="T541" s="6" t="s">
        <v>40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6.5" customHeight="1">
      <c r="A542" s="7" t="b">
        <v>0</v>
      </c>
      <c r="B542" s="5" t="s">
        <v>352</v>
      </c>
      <c r="C542" s="5" t="s">
        <v>1110</v>
      </c>
      <c r="D542" s="5" t="s">
        <v>1112</v>
      </c>
      <c r="E542" s="5" t="s">
        <v>46</v>
      </c>
      <c r="F542" s="17" t="s">
        <v>1113</v>
      </c>
      <c r="G542" s="5" t="s">
        <v>1039</v>
      </c>
      <c r="H542" s="9">
        <v>250000.0</v>
      </c>
      <c r="I542" s="20" t="s">
        <v>33</v>
      </c>
      <c r="J542" s="9"/>
      <c r="K542" s="9"/>
      <c r="L542" s="9"/>
      <c r="M542" s="28"/>
      <c r="N542" s="29"/>
      <c r="O542" s="30"/>
      <c r="P542" s="30"/>
      <c r="Q542" s="16"/>
      <c r="R542" s="18"/>
      <c r="S542" s="16"/>
      <c r="T542" s="5" t="s">
        <v>34</v>
      </c>
      <c r="U542" s="21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6.5" customHeight="1">
      <c r="A543" s="7" t="b">
        <v>0</v>
      </c>
      <c r="B543" s="6" t="s">
        <v>223</v>
      </c>
      <c r="C543" s="6" t="s">
        <v>1110</v>
      </c>
      <c r="D543" s="6" t="s">
        <v>1114</v>
      </c>
      <c r="E543" s="6" t="s">
        <v>56</v>
      </c>
      <c r="F543" s="17" t="s">
        <v>1115</v>
      </c>
      <c r="G543" s="6" t="s">
        <v>1039</v>
      </c>
      <c r="H543" s="19">
        <v>30000.0</v>
      </c>
      <c r="I543" s="20" t="s">
        <v>33</v>
      </c>
      <c r="J543" s="22">
        <v>142.0</v>
      </c>
      <c r="K543" s="22">
        <v>129.0</v>
      </c>
      <c r="L543" s="22">
        <v>2233.0</v>
      </c>
      <c r="M543" s="23">
        <v>0.64</v>
      </c>
      <c r="N543" s="24">
        <v>2.0</v>
      </c>
      <c r="O543" s="26" t="s">
        <v>30</v>
      </c>
      <c r="P543" s="26" t="s">
        <v>30</v>
      </c>
      <c r="Q543" s="27">
        <f t="shared" ref="Q543:Q546" si="226">L543/J543</f>
        <v>15.72535211</v>
      </c>
      <c r="R543" s="23">
        <f t="shared" ref="R543:R546" si="227">0+((ABS(0.5-M543)*1))</f>
        <v>0.14</v>
      </c>
      <c r="S543" s="27">
        <f t="shared" ref="S543:S546" si="228">Q543*(R543+1)</f>
        <v>17.92690141</v>
      </c>
      <c r="T543" s="6" t="s">
        <v>40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6.5" customHeight="1">
      <c r="A544" s="7" t="b">
        <v>0</v>
      </c>
      <c r="B544" s="6" t="s">
        <v>196</v>
      </c>
      <c r="C544" s="6" t="s">
        <v>1110</v>
      </c>
      <c r="D544" s="6" t="s">
        <v>1116</v>
      </c>
      <c r="E544" s="6" t="s">
        <v>189</v>
      </c>
      <c r="F544" s="25" t="s">
        <v>424</v>
      </c>
      <c r="G544" s="6" t="s">
        <v>1039</v>
      </c>
      <c r="H544" s="19">
        <v>32000.0</v>
      </c>
      <c r="I544" s="10" t="s">
        <v>27</v>
      </c>
      <c r="J544" s="22">
        <v>275.0</v>
      </c>
      <c r="K544" s="22">
        <v>287.0</v>
      </c>
      <c r="L544" s="22">
        <v>3153.0</v>
      </c>
      <c r="M544" s="23">
        <v>0.61</v>
      </c>
      <c r="N544" s="24">
        <v>1.8</v>
      </c>
      <c r="O544" s="26" t="s">
        <v>30</v>
      </c>
      <c r="P544" s="26" t="s">
        <v>30</v>
      </c>
      <c r="Q544" s="27">
        <f t="shared" si="226"/>
        <v>11.46545455</v>
      </c>
      <c r="R544" s="23">
        <f t="shared" si="227"/>
        <v>0.11</v>
      </c>
      <c r="S544" s="27">
        <f t="shared" si="228"/>
        <v>12.72665455</v>
      </c>
      <c r="T544" s="6" t="s">
        <v>40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6.5" customHeight="1">
      <c r="A545" s="7" t="b">
        <v>0</v>
      </c>
      <c r="B545" s="6" t="s">
        <v>270</v>
      </c>
      <c r="C545" s="6" t="s">
        <v>1110</v>
      </c>
      <c r="D545" s="6" t="s">
        <v>1117</v>
      </c>
      <c r="E545" s="6" t="s">
        <v>43</v>
      </c>
      <c r="F545" s="25" t="s">
        <v>1118</v>
      </c>
      <c r="G545" s="6" t="s">
        <v>1039</v>
      </c>
      <c r="H545" s="19">
        <v>58000.0</v>
      </c>
      <c r="I545" s="10" t="s">
        <v>27</v>
      </c>
      <c r="J545" s="22">
        <v>227.0</v>
      </c>
      <c r="K545" s="22">
        <v>228.0</v>
      </c>
      <c r="L545" s="22">
        <v>2712.0</v>
      </c>
      <c r="M545" s="23">
        <v>0.66</v>
      </c>
      <c r="N545" s="24">
        <v>2.0</v>
      </c>
      <c r="O545" s="26" t="s">
        <v>30</v>
      </c>
      <c r="P545" s="26" t="s">
        <v>30</v>
      </c>
      <c r="Q545" s="27">
        <f t="shared" si="226"/>
        <v>11.94713656</v>
      </c>
      <c r="R545" s="23">
        <f t="shared" si="227"/>
        <v>0.16</v>
      </c>
      <c r="S545" s="27">
        <f t="shared" si="228"/>
        <v>13.85867841</v>
      </c>
      <c r="T545" s="6" t="s">
        <v>40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6.5" customHeight="1">
      <c r="A546" s="7" t="b">
        <v>0</v>
      </c>
      <c r="B546" s="6" t="s">
        <v>217</v>
      </c>
      <c r="C546" s="6" t="s">
        <v>1110</v>
      </c>
      <c r="D546" s="6" t="s">
        <v>1119</v>
      </c>
      <c r="E546" s="6" t="s">
        <v>189</v>
      </c>
      <c r="F546" s="25" t="s">
        <v>1120</v>
      </c>
      <c r="G546" s="6" t="s">
        <v>1039</v>
      </c>
      <c r="H546" s="19">
        <v>14000.0</v>
      </c>
      <c r="I546" s="20" t="s">
        <v>33</v>
      </c>
      <c r="J546" s="22">
        <v>250.0</v>
      </c>
      <c r="K546" s="22">
        <v>251.0</v>
      </c>
      <c r="L546" s="22">
        <v>3058.0</v>
      </c>
      <c r="M546" s="23">
        <v>0.65</v>
      </c>
      <c r="N546" s="24">
        <v>2.0</v>
      </c>
      <c r="O546" s="26" t="s">
        <v>30</v>
      </c>
      <c r="P546" s="26" t="s">
        <v>30</v>
      </c>
      <c r="Q546" s="27">
        <f t="shared" si="226"/>
        <v>12.232</v>
      </c>
      <c r="R546" s="23">
        <f t="shared" si="227"/>
        <v>0.15</v>
      </c>
      <c r="S546" s="27">
        <f t="shared" si="228"/>
        <v>14.0668</v>
      </c>
      <c r="T546" s="6" t="s">
        <v>40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6.5" customHeight="1">
      <c r="A547" s="7" t="b">
        <v>0</v>
      </c>
      <c r="B547" s="5" t="s">
        <v>90</v>
      </c>
      <c r="C547" s="5" t="s">
        <v>1121</v>
      </c>
      <c r="D547" s="5" t="s">
        <v>1122</v>
      </c>
      <c r="E547" s="5" t="s">
        <v>156</v>
      </c>
      <c r="F547" s="49" t="s">
        <v>645</v>
      </c>
      <c r="G547" s="5" t="s">
        <v>1123</v>
      </c>
      <c r="H547" s="9">
        <v>2250000.0</v>
      </c>
      <c r="I547" s="35" t="s">
        <v>76</v>
      </c>
      <c r="J547" s="9"/>
      <c r="K547" s="9"/>
      <c r="L547" s="9"/>
      <c r="M547" s="28"/>
      <c r="N547" s="29"/>
      <c r="O547" s="30"/>
      <c r="P547" s="30"/>
      <c r="Q547" s="16"/>
      <c r="R547" s="18"/>
      <c r="S547" s="16"/>
      <c r="T547" s="5" t="s">
        <v>129</v>
      </c>
      <c r="U547" s="21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6.5" customHeight="1">
      <c r="A548" s="7" t="b">
        <v>0</v>
      </c>
      <c r="B548" s="6" t="s">
        <v>58</v>
      </c>
      <c r="C548" s="6" t="s">
        <v>1124</v>
      </c>
      <c r="D548" s="6" t="s">
        <v>1125</v>
      </c>
      <c r="E548" s="6" t="s">
        <v>374</v>
      </c>
      <c r="F548" s="36" t="s">
        <v>195</v>
      </c>
      <c r="G548" s="6" t="s">
        <v>52</v>
      </c>
      <c r="H548" s="19">
        <v>56000.0</v>
      </c>
      <c r="I548" s="34" t="s">
        <v>62</v>
      </c>
      <c r="J548" s="22">
        <v>835.0</v>
      </c>
      <c r="K548" s="22">
        <v>908.0</v>
      </c>
      <c r="L548" s="22">
        <v>6936.0</v>
      </c>
      <c r="M548" s="23">
        <v>0.52</v>
      </c>
      <c r="N548" s="24" t="s">
        <v>211</v>
      </c>
      <c r="O548" s="26" t="s">
        <v>71</v>
      </c>
      <c r="P548" s="26" t="s">
        <v>30</v>
      </c>
      <c r="Q548" s="27">
        <f t="shared" ref="Q548:Q549" si="229">L548/J548</f>
        <v>8.306586826</v>
      </c>
      <c r="R548" s="23">
        <f t="shared" ref="R548:R549" si="230">0+((ABS(0.5-M548)*1))</f>
        <v>0.02</v>
      </c>
      <c r="S548" s="27">
        <f t="shared" ref="S548:S549" si="231">Q548*(R548+1)</f>
        <v>8.472718563</v>
      </c>
      <c r="T548" s="6" t="s">
        <v>40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6.5" customHeight="1">
      <c r="A549" s="7" t="b">
        <v>0</v>
      </c>
      <c r="B549" s="6" t="s">
        <v>41</v>
      </c>
      <c r="C549" s="6" t="s">
        <v>1126</v>
      </c>
      <c r="D549" s="6" t="s">
        <v>1127</v>
      </c>
      <c r="E549" s="6" t="s">
        <v>114</v>
      </c>
      <c r="F549" s="36" t="s">
        <v>879</v>
      </c>
      <c r="G549" s="6" t="s">
        <v>52</v>
      </c>
      <c r="H549" s="19">
        <v>120000.0</v>
      </c>
      <c r="I549" s="34" t="s">
        <v>62</v>
      </c>
      <c r="J549" s="22">
        <v>850.0</v>
      </c>
      <c r="K549" s="22">
        <v>640.0</v>
      </c>
      <c r="L549" s="22">
        <v>3750.0</v>
      </c>
      <c r="M549" s="23">
        <v>0.48</v>
      </c>
      <c r="N549" s="24">
        <v>7.21</v>
      </c>
      <c r="O549" s="26" t="s">
        <v>29</v>
      </c>
      <c r="P549" s="26" t="s">
        <v>30</v>
      </c>
      <c r="Q549" s="27">
        <f t="shared" si="229"/>
        <v>4.411764706</v>
      </c>
      <c r="R549" s="23">
        <f t="shared" si="230"/>
        <v>0.02</v>
      </c>
      <c r="S549" s="27">
        <f t="shared" si="231"/>
        <v>4.5</v>
      </c>
      <c r="T549" s="6" t="s">
        <v>122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6.5" customHeight="1">
      <c r="A550" s="7" t="b">
        <v>0</v>
      </c>
      <c r="B550" s="5" t="s">
        <v>90</v>
      </c>
      <c r="C550" s="5" t="s">
        <v>1126</v>
      </c>
      <c r="D550" s="5" t="s">
        <v>1128</v>
      </c>
      <c r="E550" s="5" t="s">
        <v>114</v>
      </c>
      <c r="F550" s="36" t="s">
        <v>210</v>
      </c>
      <c r="G550" s="5" t="s">
        <v>52</v>
      </c>
      <c r="H550" s="9"/>
      <c r="I550" s="48"/>
      <c r="J550" s="9"/>
      <c r="K550" s="9"/>
      <c r="L550" s="9"/>
      <c r="M550" s="28"/>
      <c r="N550" s="29"/>
      <c r="O550" s="30"/>
      <c r="P550" s="30"/>
      <c r="Q550" s="16"/>
      <c r="R550" s="18"/>
      <c r="S550" s="16"/>
      <c r="T550" s="5" t="s">
        <v>129</v>
      </c>
      <c r="U550" s="21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6.5" customHeight="1">
      <c r="A551" s="7" t="b">
        <v>0</v>
      </c>
      <c r="B551" s="5" t="s">
        <v>21</v>
      </c>
      <c r="C551" s="5" t="s">
        <v>1129</v>
      </c>
      <c r="D551" s="5" t="s">
        <v>1130</v>
      </c>
      <c r="E551" s="5" t="s">
        <v>126</v>
      </c>
      <c r="F551" s="50" t="s">
        <v>875</v>
      </c>
      <c r="G551" s="5" t="s">
        <v>52</v>
      </c>
      <c r="H551" s="9">
        <v>1000000.0</v>
      </c>
      <c r="I551" s="34" t="s">
        <v>62</v>
      </c>
      <c r="J551" s="9"/>
      <c r="K551" s="9"/>
      <c r="L551" s="9"/>
      <c r="M551" s="28"/>
      <c r="N551" s="29"/>
      <c r="O551" s="30"/>
      <c r="P551" s="30"/>
      <c r="Q551" s="16"/>
      <c r="R551" s="18"/>
      <c r="S551" s="16"/>
      <c r="T551" s="5" t="s">
        <v>34</v>
      </c>
      <c r="U551" s="21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6.5" customHeight="1">
      <c r="A552" s="7" t="b">
        <v>0</v>
      </c>
      <c r="B552" s="5" t="s">
        <v>223</v>
      </c>
      <c r="C552" s="5" t="s">
        <v>1131</v>
      </c>
      <c r="D552" s="5" t="s">
        <v>1132</v>
      </c>
      <c r="E552" s="5" t="s">
        <v>253</v>
      </c>
      <c r="F552" s="32" t="s">
        <v>886</v>
      </c>
      <c r="G552" s="5" t="s">
        <v>134</v>
      </c>
      <c r="H552" s="9">
        <v>1950000.0</v>
      </c>
      <c r="I552" s="34" t="s">
        <v>62</v>
      </c>
      <c r="J552" s="9"/>
      <c r="K552" s="9"/>
      <c r="L552" s="9"/>
      <c r="M552" s="28"/>
      <c r="N552" s="29"/>
      <c r="O552" s="30"/>
      <c r="P552" s="30"/>
      <c r="Q552" s="16"/>
      <c r="R552" s="18"/>
      <c r="S552" s="16"/>
      <c r="T552" s="5" t="s">
        <v>34</v>
      </c>
      <c r="U552" s="21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6.5" customHeight="1">
      <c r="A553" s="7" t="b">
        <v>0</v>
      </c>
      <c r="B553" s="5" t="s">
        <v>97</v>
      </c>
      <c r="C553" s="5" t="s">
        <v>1133</v>
      </c>
      <c r="D553" s="5" t="s">
        <v>1134</v>
      </c>
      <c r="E553" s="5" t="s">
        <v>99</v>
      </c>
      <c r="F553" s="25" t="s">
        <v>902</v>
      </c>
      <c r="G553" s="5" t="s">
        <v>52</v>
      </c>
      <c r="H553" s="9"/>
      <c r="I553" s="48"/>
      <c r="J553" s="9"/>
      <c r="K553" s="9"/>
      <c r="L553" s="9"/>
      <c r="M553" s="28"/>
      <c r="N553" s="29"/>
      <c r="O553" s="30"/>
      <c r="P553" s="30"/>
      <c r="Q553" s="16"/>
      <c r="R553" s="18"/>
      <c r="S553" s="16"/>
      <c r="T553" s="5" t="s">
        <v>103</v>
      </c>
      <c r="U553" s="21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6.5" customHeight="1">
      <c r="A554" s="7" t="b">
        <v>0</v>
      </c>
      <c r="B554" s="6" t="s">
        <v>97</v>
      </c>
      <c r="C554" s="6" t="s">
        <v>1133</v>
      </c>
      <c r="D554" s="6" t="s">
        <v>1135</v>
      </c>
      <c r="E554" s="6" t="s">
        <v>74</v>
      </c>
      <c r="F554" s="25" t="s">
        <v>1136</v>
      </c>
      <c r="G554" s="6" t="s">
        <v>52</v>
      </c>
      <c r="H554" s="19">
        <v>2.0E7</v>
      </c>
      <c r="I554" s="35" t="s">
        <v>76</v>
      </c>
      <c r="J554" s="22">
        <v>390.0</v>
      </c>
      <c r="K554" s="22">
        <v>341.0</v>
      </c>
      <c r="L554" s="22">
        <v>2300.0</v>
      </c>
      <c r="M554" s="23">
        <v>0.53</v>
      </c>
      <c r="N554" s="24">
        <v>4.73</v>
      </c>
      <c r="O554" s="26" t="s">
        <v>29</v>
      </c>
      <c r="P554" s="26" t="s">
        <v>30</v>
      </c>
      <c r="Q554" s="27">
        <f t="shared" ref="Q554:Q561" si="232">L554/J554</f>
        <v>5.897435897</v>
      </c>
      <c r="R554" s="23">
        <f t="shared" ref="R554:R561" si="233">0+((ABS(0.5-M554)*1))</f>
        <v>0.03</v>
      </c>
      <c r="S554" s="27">
        <f t="shared" ref="S554:S561" si="234">Q554*(R554+1)</f>
        <v>6.074358974</v>
      </c>
      <c r="T554" s="6" t="s">
        <v>40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6.5" customHeight="1">
      <c r="A555" s="7" t="b">
        <v>0</v>
      </c>
      <c r="B555" s="6" t="s">
        <v>180</v>
      </c>
      <c r="C555" s="6" t="s">
        <v>1137</v>
      </c>
      <c r="D555" s="6" t="s">
        <v>1138</v>
      </c>
      <c r="E555" s="6" t="s">
        <v>126</v>
      </c>
      <c r="F555" s="49" t="s">
        <v>835</v>
      </c>
      <c r="G555" s="6" t="s">
        <v>52</v>
      </c>
      <c r="H555" s="19">
        <v>65000.0</v>
      </c>
      <c r="I555" s="34" t="s">
        <v>62</v>
      </c>
      <c r="J555" s="22">
        <v>600.0</v>
      </c>
      <c r="K555" s="22">
        <v>287.0</v>
      </c>
      <c r="L555" s="22">
        <v>1150.0</v>
      </c>
      <c r="M555" s="23">
        <v>0.43</v>
      </c>
      <c r="N555" s="24">
        <v>1.34</v>
      </c>
      <c r="O555" s="26" t="s">
        <v>29</v>
      </c>
      <c r="P555" s="26" t="s">
        <v>77</v>
      </c>
      <c r="Q555" s="27">
        <f t="shared" si="232"/>
        <v>1.916666667</v>
      </c>
      <c r="R555" s="23">
        <f t="shared" si="233"/>
        <v>0.07</v>
      </c>
      <c r="S555" s="27">
        <f t="shared" si="234"/>
        <v>2.050833333</v>
      </c>
      <c r="T555" s="6" t="s">
        <v>40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6.5" customHeight="1">
      <c r="A556" s="7" t="b">
        <v>0</v>
      </c>
      <c r="B556" s="6" t="s">
        <v>90</v>
      </c>
      <c r="C556" s="6" t="s">
        <v>1137</v>
      </c>
      <c r="D556" s="6" t="s">
        <v>1139</v>
      </c>
      <c r="E556" s="6" t="s">
        <v>316</v>
      </c>
      <c r="F556" s="17" t="s">
        <v>952</v>
      </c>
      <c r="G556" s="6" t="s">
        <v>52</v>
      </c>
      <c r="H556" s="19">
        <v>75000.0</v>
      </c>
      <c r="I556" s="10" t="s">
        <v>27</v>
      </c>
      <c r="J556" s="22">
        <v>50.0</v>
      </c>
      <c r="K556" s="22">
        <v>43.0</v>
      </c>
      <c r="L556" s="22">
        <v>805.0</v>
      </c>
      <c r="M556" s="23">
        <v>0.49</v>
      </c>
      <c r="N556" s="24">
        <v>0.69</v>
      </c>
      <c r="O556" s="26" t="s">
        <v>29</v>
      </c>
      <c r="P556" s="26" t="s">
        <v>77</v>
      </c>
      <c r="Q556" s="27">
        <f t="shared" si="232"/>
        <v>16.1</v>
      </c>
      <c r="R556" s="23">
        <f t="shared" si="233"/>
        <v>0.01</v>
      </c>
      <c r="S556" s="27">
        <f t="shared" si="234"/>
        <v>16.261</v>
      </c>
      <c r="T556" s="6" t="s">
        <v>40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6.5" customHeight="1">
      <c r="A557" s="7" t="b">
        <v>0</v>
      </c>
      <c r="B557" s="6" t="s">
        <v>90</v>
      </c>
      <c r="C557" s="6" t="s">
        <v>1137</v>
      </c>
      <c r="D557" s="6" t="s">
        <v>1140</v>
      </c>
      <c r="E557" s="6" t="s">
        <v>316</v>
      </c>
      <c r="F557" s="36" t="s">
        <v>85</v>
      </c>
      <c r="G557" s="6" t="s">
        <v>52</v>
      </c>
      <c r="H557" s="19">
        <v>50000.0</v>
      </c>
      <c r="I557" s="10" t="s">
        <v>27</v>
      </c>
      <c r="J557" s="22">
        <v>194.0</v>
      </c>
      <c r="K557" s="22">
        <v>114.0</v>
      </c>
      <c r="L557" s="22">
        <v>925.0</v>
      </c>
      <c r="M557" s="23">
        <v>0.45</v>
      </c>
      <c r="N557" s="24">
        <v>1.34</v>
      </c>
      <c r="O557" s="26" t="s">
        <v>29</v>
      </c>
      <c r="P557" s="26" t="s">
        <v>77</v>
      </c>
      <c r="Q557" s="27">
        <f t="shared" si="232"/>
        <v>4.768041237</v>
      </c>
      <c r="R557" s="23">
        <f t="shared" si="233"/>
        <v>0.05</v>
      </c>
      <c r="S557" s="27">
        <f t="shared" si="234"/>
        <v>5.006443299</v>
      </c>
      <c r="T557" s="6" t="s">
        <v>40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6.5" customHeight="1">
      <c r="A558" s="7" t="b">
        <v>0</v>
      </c>
      <c r="B558" s="6" t="s">
        <v>130</v>
      </c>
      <c r="C558" s="6" t="s">
        <v>1141</v>
      </c>
      <c r="D558" s="6" t="s">
        <v>1142</v>
      </c>
      <c r="E558" s="6" t="s">
        <v>306</v>
      </c>
      <c r="F558" s="32" t="s">
        <v>395</v>
      </c>
      <c r="G558" s="6" t="s">
        <v>52</v>
      </c>
      <c r="H558" s="19">
        <v>135000.0</v>
      </c>
      <c r="I558" s="10" t="s">
        <v>27</v>
      </c>
      <c r="J558" s="22">
        <v>640.0</v>
      </c>
      <c r="K558" s="22">
        <v>600.0</v>
      </c>
      <c r="L558" s="22">
        <v>3296.0</v>
      </c>
      <c r="M558" s="23">
        <v>0.49</v>
      </c>
      <c r="N558" s="24">
        <v>8.38</v>
      </c>
      <c r="O558" s="26" t="s">
        <v>29</v>
      </c>
      <c r="P558" s="26" t="s">
        <v>30</v>
      </c>
      <c r="Q558" s="27">
        <f t="shared" si="232"/>
        <v>5.15</v>
      </c>
      <c r="R558" s="23">
        <f t="shared" si="233"/>
        <v>0.01</v>
      </c>
      <c r="S558" s="27">
        <f t="shared" si="234"/>
        <v>5.2015</v>
      </c>
      <c r="T558" s="6" t="s">
        <v>165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6.5" customHeight="1">
      <c r="A559" s="7" t="b">
        <v>0</v>
      </c>
      <c r="B559" s="6" t="s">
        <v>44</v>
      </c>
      <c r="C559" s="6" t="s">
        <v>1143</v>
      </c>
      <c r="D559" s="6" t="s">
        <v>1144</v>
      </c>
      <c r="E559" s="6" t="s">
        <v>366</v>
      </c>
      <c r="F559" s="17" t="s">
        <v>1145</v>
      </c>
      <c r="G559" s="6" t="s">
        <v>228</v>
      </c>
      <c r="H559" s="19">
        <v>20000.0</v>
      </c>
      <c r="I559" s="20" t="s">
        <v>33</v>
      </c>
      <c r="J559" s="22">
        <v>69.0</v>
      </c>
      <c r="K559" s="22">
        <v>84.0</v>
      </c>
      <c r="L559" s="22">
        <v>2061.0</v>
      </c>
      <c r="M559" s="23">
        <v>0.63</v>
      </c>
      <c r="N559" s="24">
        <v>1.6</v>
      </c>
      <c r="O559" s="26" t="s">
        <v>71</v>
      </c>
      <c r="P559" s="26" t="s">
        <v>30</v>
      </c>
      <c r="Q559" s="27">
        <f t="shared" si="232"/>
        <v>29.86956522</v>
      </c>
      <c r="R559" s="23">
        <f t="shared" si="233"/>
        <v>0.13</v>
      </c>
      <c r="S559" s="27">
        <f t="shared" si="234"/>
        <v>33.7526087</v>
      </c>
      <c r="T559" s="6" t="s">
        <v>40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6.5" customHeight="1">
      <c r="A560" s="7" t="b">
        <v>0</v>
      </c>
      <c r="B560" s="6" t="s">
        <v>130</v>
      </c>
      <c r="C560" s="6" t="s">
        <v>1143</v>
      </c>
      <c r="D560" s="6" t="s">
        <v>1146</v>
      </c>
      <c r="E560" s="6" t="s">
        <v>24</v>
      </c>
      <c r="F560" s="8" t="s">
        <v>1147</v>
      </c>
      <c r="G560" s="6" t="s">
        <v>228</v>
      </c>
      <c r="H560" s="19">
        <v>25000.0</v>
      </c>
      <c r="I560" s="20" t="s">
        <v>33</v>
      </c>
      <c r="J560" s="22">
        <v>200.0</v>
      </c>
      <c r="K560" s="22">
        <v>151.0</v>
      </c>
      <c r="L560" s="22">
        <v>2764.0</v>
      </c>
      <c r="M560" s="23">
        <v>0.55</v>
      </c>
      <c r="N560" s="24">
        <v>2.0</v>
      </c>
      <c r="O560" s="26" t="s">
        <v>29</v>
      </c>
      <c r="P560" s="26" t="s">
        <v>30</v>
      </c>
      <c r="Q560" s="27">
        <f t="shared" si="232"/>
        <v>13.82</v>
      </c>
      <c r="R560" s="23">
        <f t="shared" si="233"/>
        <v>0.05</v>
      </c>
      <c r="S560" s="27">
        <f t="shared" si="234"/>
        <v>14.511</v>
      </c>
      <c r="T560" s="6" t="s">
        <v>40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6.5" customHeight="1">
      <c r="A561" s="7" t="b">
        <v>0</v>
      </c>
      <c r="B561" s="6" t="s">
        <v>58</v>
      </c>
      <c r="C561" s="6" t="s">
        <v>1143</v>
      </c>
      <c r="D561" s="6" t="s">
        <v>1146</v>
      </c>
      <c r="E561" s="6" t="s">
        <v>24</v>
      </c>
      <c r="F561" s="25" t="s">
        <v>544</v>
      </c>
      <c r="G561" s="6" t="s">
        <v>228</v>
      </c>
      <c r="H561" s="19">
        <v>28000.0</v>
      </c>
      <c r="I561" s="34" t="s">
        <v>62</v>
      </c>
      <c r="J561" s="22">
        <v>228.0</v>
      </c>
      <c r="K561" s="22">
        <v>184.0</v>
      </c>
      <c r="L561" s="22">
        <v>2835.0</v>
      </c>
      <c r="M561" s="23">
        <v>0.53</v>
      </c>
      <c r="N561" s="24">
        <v>2.39</v>
      </c>
      <c r="O561" s="26" t="s">
        <v>29</v>
      </c>
      <c r="P561" s="26" t="s">
        <v>30</v>
      </c>
      <c r="Q561" s="27">
        <f t="shared" si="232"/>
        <v>12.43421053</v>
      </c>
      <c r="R561" s="23">
        <f t="shared" si="233"/>
        <v>0.03</v>
      </c>
      <c r="S561" s="27">
        <f t="shared" si="234"/>
        <v>12.80723684</v>
      </c>
      <c r="T561" s="6" t="s">
        <v>40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6.5" customHeight="1">
      <c r="A562" s="7" t="b">
        <v>0</v>
      </c>
      <c r="B562" s="5" t="s">
        <v>58</v>
      </c>
      <c r="C562" s="5" t="s">
        <v>1143</v>
      </c>
      <c r="D562" s="5" t="s">
        <v>1148</v>
      </c>
      <c r="E562" s="5" t="s">
        <v>114</v>
      </c>
      <c r="F562" s="36" t="s">
        <v>262</v>
      </c>
      <c r="G562" s="5" t="s">
        <v>228</v>
      </c>
      <c r="H562" s="9">
        <v>500000.0</v>
      </c>
      <c r="I562" s="53" t="s">
        <v>430</v>
      </c>
      <c r="J562" s="9"/>
      <c r="K562" s="9"/>
      <c r="L562" s="9"/>
      <c r="M562" s="28"/>
      <c r="N562" s="29"/>
      <c r="O562" s="30"/>
      <c r="P562" s="30"/>
      <c r="Q562" s="27"/>
      <c r="R562" s="23"/>
      <c r="S562" s="27"/>
      <c r="T562" s="5" t="s">
        <v>846</v>
      </c>
      <c r="U562" s="21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6.5" customHeight="1">
      <c r="A563" s="7" t="b">
        <v>0</v>
      </c>
      <c r="B563" s="6" t="s">
        <v>903</v>
      </c>
      <c r="C563" s="6" t="s">
        <v>1143</v>
      </c>
      <c r="D563" s="6" t="s">
        <v>1149</v>
      </c>
      <c r="E563" s="6" t="s">
        <v>215</v>
      </c>
      <c r="F563" s="25" t="s">
        <v>536</v>
      </c>
      <c r="G563" s="6" t="s">
        <v>228</v>
      </c>
      <c r="H563" s="19">
        <v>86000.0</v>
      </c>
      <c r="I563" s="35" t="s">
        <v>76</v>
      </c>
      <c r="J563" s="22">
        <v>276.0</v>
      </c>
      <c r="K563" s="22">
        <v>265.0</v>
      </c>
      <c r="L563" s="22">
        <v>2800.0</v>
      </c>
      <c r="M563" s="23">
        <v>0.58</v>
      </c>
      <c r="N563" s="24">
        <v>2.21</v>
      </c>
      <c r="O563" s="26" t="s">
        <v>71</v>
      </c>
      <c r="P563" s="26" t="s">
        <v>30</v>
      </c>
      <c r="Q563" s="27">
        <f t="shared" ref="Q563:Q568" si="235">L563/J563</f>
        <v>10.14492754</v>
      </c>
      <c r="R563" s="23">
        <f t="shared" ref="R563:R568" si="236">0+((ABS(0.5-M563)*1))</f>
        <v>0.08</v>
      </c>
      <c r="S563" s="27">
        <f t="shared" ref="S563:S568" si="237">Q563*(R563+1)</f>
        <v>10.95652174</v>
      </c>
      <c r="T563" s="6" t="s">
        <v>40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6.5" customHeight="1">
      <c r="A564" s="7" t="b">
        <v>0</v>
      </c>
      <c r="B564" s="6" t="s">
        <v>648</v>
      </c>
      <c r="C564" s="6" t="s">
        <v>1143</v>
      </c>
      <c r="D564" s="6" t="s">
        <v>1150</v>
      </c>
      <c r="E564" s="6" t="s">
        <v>943</v>
      </c>
      <c r="F564" s="25" t="s">
        <v>1151</v>
      </c>
      <c r="G564" s="6" t="s">
        <v>228</v>
      </c>
      <c r="H564" s="19">
        <v>30000.0</v>
      </c>
      <c r="I564" s="20" t="s">
        <v>33</v>
      </c>
      <c r="J564" s="22">
        <v>278.0</v>
      </c>
      <c r="K564" s="22">
        <v>290.0</v>
      </c>
      <c r="L564" s="22">
        <v>3270.0</v>
      </c>
      <c r="M564" s="23">
        <v>0.58</v>
      </c>
      <c r="N564" s="24">
        <v>1.99</v>
      </c>
      <c r="O564" s="26" t="s">
        <v>71</v>
      </c>
      <c r="P564" s="26" t="s">
        <v>30</v>
      </c>
      <c r="Q564" s="27">
        <f t="shared" si="235"/>
        <v>11.76258993</v>
      </c>
      <c r="R564" s="23">
        <f t="shared" si="236"/>
        <v>0.08</v>
      </c>
      <c r="S564" s="27">
        <f t="shared" si="237"/>
        <v>12.70359712</v>
      </c>
      <c r="T564" s="6" t="s">
        <v>40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6.5" customHeight="1">
      <c r="A565" s="7" t="b">
        <v>0</v>
      </c>
      <c r="B565" s="6" t="s">
        <v>268</v>
      </c>
      <c r="C565" s="6" t="s">
        <v>1143</v>
      </c>
      <c r="D565" s="6" t="s">
        <v>1150</v>
      </c>
      <c r="E565" s="6" t="s">
        <v>943</v>
      </c>
      <c r="F565" s="25" t="s">
        <v>676</v>
      </c>
      <c r="G565" s="6" t="s">
        <v>228</v>
      </c>
      <c r="H565" s="19">
        <v>35000.0</v>
      </c>
      <c r="I565" s="20" t="s">
        <v>33</v>
      </c>
      <c r="J565" s="22">
        <v>311.0</v>
      </c>
      <c r="K565" s="22">
        <v>311.0</v>
      </c>
      <c r="L565" s="22">
        <v>3315.0</v>
      </c>
      <c r="M565" s="23">
        <v>0.58</v>
      </c>
      <c r="N565" s="24">
        <v>1.99</v>
      </c>
      <c r="O565" s="26" t="s">
        <v>71</v>
      </c>
      <c r="P565" s="26" t="s">
        <v>30</v>
      </c>
      <c r="Q565" s="27">
        <f t="shared" si="235"/>
        <v>10.65916399</v>
      </c>
      <c r="R565" s="23">
        <f t="shared" si="236"/>
        <v>0.08</v>
      </c>
      <c r="S565" s="27">
        <f t="shared" si="237"/>
        <v>11.51189711</v>
      </c>
      <c r="T565" s="6" t="s">
        <v>40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6.5" customHeight="1">
      <c r="A566" s="7" t="b">
        <v>0</v>
      </c>
      <c r="B566" s="6" t="s">
        <v>270</v>
      </c>
      <c r="C566" s="6" t="s">
        <v>1143</v>
      </c>
      <c r="D566" s="6" t="s">
        <v>1150</v>
      </c>
      <c r="E566" s="6" t="s">
        <v>943</v>
      </c>
      <c r="F566" s="25" t="s">
        <v>1089</v>
      </c>
      <c r="G566" s="6" t="s">
        <v>228</v>
      </c>
      <c r="H566" s="19">
        <v>27000.0</v>
      </c>
      <c r="I566" s="10" t="s">
        <v>27</v>
      </c>
      <c r="J566" s="22">
        <v>305.0</v>
      </c>
      <c r="K566" s="22">
        <v>335.0</v>
      </c>
      <c r="L566" s="22">
        <v>3395.0</v>
      </c>
      <c r="M566" s="23">
        <v>0.58</v>
      </c>
      <c r="N566" s="24">
        <v>2.46</v>
      </c>
      <c r="O566" s="26" t="s">
        <v>71</v>
      </c>
      <c r="P566" s="26" t="s">
        <v>30</v>
      </c>
      <c r="Q566" s="27">
        <f t="shared" si="235"/>
        <v>11.13114754</v>
      </c>
      <c r="R566" s="23">
        <f t="shared" si="236"/>
        <v>0.08</v>
      </c>
      <c r="S566" s="27">
        <f t="shared" si="237"/>
        <v>12.02163934</v>
      </c>
      <c r="T566" s="6" t="s">
        <v>40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6.5" customHeight="1">
      <c r="A567" s="7" t="b">
        <v>0</v>
      </c>
      <c r="B567" s="6" t="s">
        <v>268</v>
      </c>
      <c r="C567" s="6" t="s">
        <v>1143</v>
      </c>
      <c r="D567" s="6" t="s">
        <v>1152</v>
      </c>
      <c r="E567" s="6" t="s">
        <v>69</v>
      </c>
      <c r="F567" s="25" t="s">
        <v>267</v>
      </c>
      <c r="G567" s="6" t="s">
        <v>228</v>
      </c>
      <c r="H567" s="19">
        <v>10000.0</v>
      </c>
      <c r="I567" s="20" t="s">
        <v>33</v>
      </c>
      <c r="J567" s="22">
        <v>276.0</v>
      </c>
      <c r="K567" s="22">
        <v>253.0</v>
      </c>
      <c r="L567" s="22">
        <v>3153.0</v>
      </c>
      <c r="M567" s="23">
        <v>0.57</v>
      </c>
      <c r="N567" s="24">
        <v>1.99</v>
      </c>
      <c r="O567" s="26" t="s">
        <v>71</v>
      </c>
      <c r="P567" s="26" t="s">
        <v>30</v>
      </c>
      <c r="Q567" s="27">
        <f t="shared" si="235"/>
        <v>11.42391304</v>
      </c>
      <c r="R567" s="23">
        <f t="shared" si="236"/>
        <v>0.07</v>
      </c>
      <c r="S567" s="27">
        <f t="shared" si="237"/>
        <v>12.22358696</v>
      </c>
      <c r="T567" s="6" t="s">
        <v>40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6.5" customHeight="1">
      <c r="A568" s="7" t="b">
        <v>0</v>
      </c>
      <c r="B568" s="6" t="s">
        <v>104</v>
      </c>
      <c r="C568" s="6" t="s">
        <v>1143</v>
      </c>
      <c r="D568" s="6" t="s">
        <v>1153</v>
      </c>
      <c r="E568" s="6" t="s">
        <v>215</v>
      </c>
      <c r="F568" s="8" t="s">
        <v>1154</v>
      </c>
      <c r="G568" s="6" t="s">
        <v>228</v>
      </c>
      <c r="H568" s="19">
        <v>15000.0</v>
      </c>
      <c r="I568" s="20" t="s">
        <v>33</v>
      </c>
      <c r="J568" s="22">
        <v>217.0</v>
      </c>
      <c r="K568" s="22">
        <v>199.0</v>
      </c>
      <c r="L568" s="22">
        <v>2990.0</v>
      </c>
      <c r="M568" s="23">
        <v>0.57</v>
      </c>
      <c r="N568" s="24">
        <v>1.99</v>
      </c>
      <c r="O568" s="26" t="s">
        <v>71</v>
      </c>
      <c r="P568" s="26" t="s">
        <v>30</v>
      </c>
      <c r="Q568" s="27">
        <f t="shared" si="235"/>
        <v>13.77880184</v>
      </c>
      <c r="R568" s="23">
        <f t="shared" si="236"/>
        <v>0.07</v>
      </c>
      <c r="S568" s="27">
        <f t="shared" si="237"/>
        <v>14.74331797</v>
      </c>
      <c r="T568" s="6" t="s">
        <v>40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6.5" customHeight="1">
      <c r="A569" s="7" t="b">
        <v>0</v>
      </c>
      <c r="B569" s="5" t="s">
        <v>123</v>
      </c>
      <c r="C569" s="5" t="s">
        <v>1143</v>
      </c>
      <c r="D569" s="5" t="s">
        <v>1155</v>
      </c>
      <c r="E569" s="5" t="s">
        <v>943</v>
      </c>
      <c r="F569" s="25" t="s">
        <v>946</v>
      </c>
      <c r="G569" s="5" t="s">
        <v>228</v>
      </c>
      <c r="H569" s="9">
        <v>250000.0</v>
      </c>
      <c r="I569" s="20" t="s">
        <v>33</v>
      </c>
      <c r="J569" s="9"/>
      <c r="K569" s="9"/>
      <c r="L569" s="9"/>
      <c r="M569" s="28"/>
      <c r="N569" s="29"/>
      <c r="O569" s="30"/>
      <c r="P569" s="30"/>
      <c r="Q569" s="16"/>
      <c r="R569" s="18"/>
      <c r="S569" s="16"/>
      <c r="T569" s="5" t="s">
        <v>34</v>
      </c>
      <c r="U569" s="21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6.5" customHeight="1">
      <c r="A570" s="7" t="b">
        <v>0</v>
      </c>
      <c r="B570" s="6" t="s">
        <v>367</v>
      </c>
      <c r="C570" s="6" t="s">
        <v>1143</v>
      </c>
      <c r="D570" s="6" t="s">
        <v>1156</v>
      </c>
      <c r="E570" s="6" t="s">
        <v>148</v>
      </c>
      <c r="F570" s="8" t="s">
        <v>1157</v>
      </c>
      <c r="G570" s="6" t="s">
        <v>228</v>
      </c>
      <c r="H570" s="19">
        <v>13000.0</v>
      </c>
      <c r="I570" s="20" t="s">
        <v>33</v>
      </c>
      <c r="J570" s="22">
        <v>230.0</v>
      </c>
      <c r="K570" s="22">
        <v>228.0</v>
      </c>
      <c r="L570" s="22">
        <v>3580.0</v>
      </c>
      <c r="M570" s="23">
        <v>0.59</v>
      </c>
      <c r="N570" s="24">
        <v>3.32</v>
      </c>
      <c r="O570" s="26" t="s">
        <v>71</v>
      </c>
      <c r="P570" s="26" t="s">
        <v>30</v>
      </c>
      <c r="Q570" s="27">
        <f t="shared" ref="Q570:Q571" si="238">L570/J570</f>
        <v>15.56521739</v>
      </c>
      <c r="R570" s="23">
        <f t="shared" ref="R570:R571" si="239">0+((ABS(0.5-M570)*1))</f>
        <v>0.09</v>
      </c>
      <c r="S570" s="27">
        <f t="shared" ref="S570:S571" si="240">Q570*(R570+1)</f>
        <v>16.96608696</v>
      </c>
      <c r="T570" s="6" t="s">
        <v>40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6.5" customHeight="1">
      <c r="A571" s="7" t="b">
        <v>0</v>
      </c>
      <c r="B571" s="6" t="s">
        <v>473</v>
      </c>
      <c r="C571" s="6" t="s">
        <v>1143</v>
      </c>
      <c r="D571" s="6" t="s">
        <v>1158</v>
      </c>
      <c r="E571" s="6" t="s">
        <v>226</v>
      </c>
      <c r="F571" s="17" t="s">
        <v>1159</v>
      </c>
      <c r="G571" s="6" t="s">
        <v>228</v>
      </c>
      <c r="H571" s="19">
        <v>10000.0</v>
      </c>
      <c r="I571" s="34" t="s">
        <v>62</v>
      </c>
      <c r="J571" s="22">
        <v>63.0</v>
      </c>
      <c r="K571" s="22">
        <v>65.0</v>
      </c>
      <c r="L571" s="22">
        <v>1676.0</v>
      </c>
      <c r="M571" s="23">
        <v>0.58</v>
      </c>
      <c r="N571" s="24">
        <v>0.66</v>
      </c>
      <c r="O571" s="26" t="s">
        <v>71</v>
      </c>
      <c r="P571" s="26" t="s">
        <v>30</v>
      </c>
      <c r="Q571" s="27">
        <f t="shared" si="238"/>
        <v>26.6031746</v>
      </c>
      <c r="R571" s="23">
        <f t="shared" si="239"/>
        <v>0.08</v>
      </c>
      <c r="S571" s="27">
        <f t="shared" si="240"/>
        <v>28.73142857</v>
      </c>
      <c r="T571" s="6" t="s">
        <v>40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6.5" customHeight="1">
      <c r="A572" s="7" t="b">
        <v>0</v>
      </c>
      <c r="B572" s="5" t="s">
        <v>473</v>
      </c>
      <c r="C572" s="5" t="s">
        <v>1143</v>
      </c>
      <c r="D572" s="5" t="s">
        <v>1160</v>
      </c>
      <c r="E572" s="5" t="s">
        <v>126</v>
      </c>
      <c r="F572" s="50" t="s">
        <v>488</v>
      </c>
      <c r="G572" s="5" t="s">
        <v>228</v>
      </c>
      <c r="H572" s="9"/>
      <c r="I572" s="48"/>
      <c r="J572" s="9"/>
      <c r="K572" s="9"/>
      <c r="L572" s="9"/>
      <c r="M572" s="28"/>
      <c r="N572" s="29"/>
      <c r="O572" s="30"/>
      <c r="P572" s="30"/>
      <c r="Q572" s="16"/>
      <c r="R572" s="18"/>
      <c r="S572" s="16"/>
      <c r="T572" s="5" t="s">
        <v>103</v>
      </c>
      <c r="U572" s="21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6.5" customHeight="1">
      <c r="A573" s="7" t="b">
        <v>0</v>
      </c>
      <c r="B573" s="6" t="s">
        <v>58</v>
      </c>
      <c r="C573" s="6" t="s">
        <v>1143</v>
      </c>
      <c r="D573" s="6" t="s">
        <v>1161</v>
      </c>
      <c r="E573" s="6" t="s">
        <v>943</v>
      </c>
      <c r="F573" s="25" t="s">
        <v>1120</v>
      </c>
      <c r="G573" s="6" t="s">
        <v>228</v>
      </c>
      <c r="H573" s="19">
        <v>25000.0</v>
      </c>
      <c r="I573" s="34" t="s">
        <v>62</v>
      </c>
      <c r="J573" s="22">
        <v>271.0</v>
      </c>
      <c r="K573" s="22">
        <v>258.0</v>
      </c>
      <c r="L573" s="22">
        <v>3297.0</v>
      </c>
      <c r="M573" s="23">
        <v>0.6</v>
      </c>
      <c r="N573" s="24">
        <v>2.39</v>
      </c>
      <c r="O573" s="26" t="s">
        <v>71</v>
      </c>
      <c r="P573" s="26" t="s">
        <v>30</v>
      </c>
      <c r="Q573" s="27">
        <f t="shared" ref="Q573:Q575" si="241">L573/J573</f>
        <v>12.16605166</v>
      </c>
      <c r="R573" s="23">
        <f t="shared" ref="R573:R575" si="242">0+((ABS(0.5-M573)*1))</f>
        <v>0.1</v>
      </c>
      <c r="S573" s="27">
        <f t="shared" ref="S573:S575" si="243">Q573*(R573+1)</f>
        <v>13.38265683</v>
      </c>
      <c r="T573" s="6" t="s">
        <v>40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6.5" customHeight="1">
      <c r="A574" s="7" t="b">
        <v>0</v>
      </c>
      <c r="B574" s="6" t="s">
        <v>187</v>
      </c>
      <c r="C574" s="6" t="s">
        <v>1143</v>
      </c>
      <c r="D574" s="6" t="s">
        <v>1162</v>
      </c>
      <c r="E574" s="6" t="s">
        <v>943</v>
      </c>
      <c r="F574" s="25" t="s">
        <v>424</v>
      </c>
      <c r="G574" s="6" t="s">
        <v>228</v>
      </c>
      <c r="H574" s="19">
        <v>27000.0</v>
      </c>
      <c r="I574" s="10" t="s">
        <v>27</v>
      </c>
      <c r="J574" s="22">
        <v>305.0</v>
      </c>
      <c r="K574" s="22">
        <v>290.0</v>
      </c>
      <c r="L574" s="22">
        <v>3384.0</v>
      </c>
      <c r="M574" s="23">
        <v>0.58</v>
      </c>
      <c r="N574" s="24">
        <v>2.46</v>
      </c>
      <c r="O574" s="26" t="s">
        <v>71</v>
      </c>
      <c r="P574" s="26" t="s">
        <v>30</v>
      </c>
      <c r="Q574" s="27">
        <f t="shared" si="241"/>
        <v>11.09508197</v>
      </c>
      <c r="R574" s="23">
        <f t="shared" si="242"/>
        <v>0.08</v>
      </c>
      <c r="S574" s="27">
        <f t="shared" si="243"/>
        <v>11.98268852</v>
      </c>
      <c r="T574" s="6" t="s">
        <v>40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6.5" customHeight="1">
      <c r="A575" s="7" t="b">
        <v>0</v>
      </c>
      <c r="B575" s="6" t="s">
        <v>116</v>
      </c>
      <c r="C575" s="6" t="s">
        <v>1143</v>
      </c>
      <c r="D575" s="6" t="s">
        <v>1162</v>
      </c>
      <c r="E575" s="6" t="s">
        <v>943</v>
      </c>
      <c r="F575" s="25" t="s">
        <v>785</v>
      </c>
      <c r="G575" s="6" t="s">
        <v>228</v>
      </c>
      <c r="H575" s="19">
        <v>27000.0</v>
      </c>
      <c r="I575" s="20" t="s">
        <v>33</v>
      </c>
      <c r="J575" s="22">
        <v>305.0</v>
      </c>
      <c r="K575" s="22">
        <v>290.0</v>
      </c>
      <c r="L575" s="22">
        <v>3386.0</v>
      </c>
      <c r="M575" s="23">
        <v>0.59</v>
      </c>
      <c r="N575" s="24">
        <v>2.46</v>
      </c>
      <c r="O575" s="26" t="s">
        <v>71</v>
      </c>
      <c r="P575" s="26" t="s">
        <v>30</v>
      </c>
      <c r="Q575" s="27">
        <f t="shared" si="241"/>
        <v>11.10163934</v>
      </c>
      <c r="R575" s="23">
        <f t="shared" si="242"/>
        <v>0.09</v>
      </c>
      <c r="S575" s="27">
        <f t="shared" si="243"/>
        <v>12.10078689</v>
      </c>
      <c r="T575" s="6" t="s">
        <v>40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6.5" customHeight="1">
      <c r="A576" s="7" t="b">
        <v>0</v>
      </c>
      <c r="B576" s="5" t="s">
        <v>196</v>
      </c>
      <c r="C576" s="5" t="s">
        <v>1143</v>
      </c>
      <c r="D576" s="5" t="s">
        <v>1163</v>
      </c>
      <c r="E576" s="5" t="s">
        <v>171</v>
      </c>
      <c r="F576" s="32" t="s">
        <v>551</v>
      </c>
      <c r="G576" s="5" t="s">
        <v>228</v>
      </c>
      <c r="H576" s="9">
        <v>150000.0</v>
      </c>
      <c r="I576" s="34" t="s">
        <v>62</v>
      </c>
      <c r="J576" s="9"/>
      <c r="K576" s="9"/>
      <c r="L576" s="9"/>
      <c r="M576" s="28"/>
      <c r="N576" s="29"/>
      <c r="O576" s="30"/>
      <c r="P576" s="30"/>
      <c r="Q576" s="16"/>
      <c r="R576" s="18"/>
      <c r="S576" s="16"/>
      <c r="T576" s="5" t="s">
        <v>34</v>
      </c>
      <c r="U576" s="21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6.5" customHeight="1">
      <c r="A577" s="7" t="b">
        <v>0</v>
      </c>
      <c r="B577" s="6" t="s">
        <v>223</v>
      </c>
      <c r="C577" s="6" t="s">
        <v>1164</v>
      </c>
      <c r="D577" s="6" t="s">
        <v>1165</v>
      </c>
      <c r="E577" s="6" t="s">
        <v>114</v>
      </c>
      <c r="F577" s="25" t="s">
        <v>1166</v>
      </c>
      <c r="G577" s="6" t="s">
        <v>228</v>
      </c>
      <c r="H577" s="19">
        <v>15000.0</v>
      </c>
      <c r="I577" s="10" t="s">
        <v>27</v>
      </c>
      <c r="J577" s="22">
        <v>360.0</v>
      </c>
      <c r="K577" s="22">
        <v>265.0</v>
      </c>
      <c r="L577" s="22">
        <v>4000.0</v>
      </c>
      <c r="M577" s="23">
        <v>0.4</v>
      </c>
      <c r="N577" s="24">
        <v>3.41</v>
      </c>
      <c r="O577" s="26" t="s">
        <v>29</v>
      </c>
      <c r="P577" s="26" t="s">
        <v>77</v>
      </c>
      <c r="Q577" s="27">
        <f>L577/J577</f>
        <v>11.11111111</v>
      </c>
      <c r="R577" s="23">
        <f>0+((ABS(0.5-M577)*1))</f>
        <v>0.1</v>
      </c>
      <c r="S577" s="27">
        <f>Q577*(R577+1)</f>
        <v>12.22222222</v>
      </c>
      <c r="T577" s="6" t="s">
        <v>40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6.5" customHeight="1">
      <c r="A578" s="7" t="b">
        <v>0</v>
      </c>
      <c r="B578" s="5" t="s">
        <v>329</v>
      </c>
      <c r="C578" s="5" t="s">
        <v>1164</v>
      </c>
      <c r="D578" s="5" t="s">
        <v>1167</v>
      </c>
      <c r="E578" s="5" t="s">
        <v>99</v>
      </c>
      <c r="F578" s="17" t="s">
        <v>1168</v>
      </c>
      <c r="G578" s="5" t="s">
        <v>228</v>
      </c>
      <c r="H578" s="9">
        <v>400000.0</v>
      </c>
      <c r="I578" s="35" t="s">
        <v>76</v>
      </c>
      <c r="J578" s="9"/>
      <c r="K578" s="9"/>
      <c r="L578" s="9"/>
      <c r="M578" s="28"/>
      <c r="N578" s="29"/>
      <c r="O578" s="30"/>
      <c r="P578" s="30"/>
      <c r="Q578" s="16"/>
      <c r="R578" s="18"/>
      <c r="S578" s="16"/>
      <c r="T578" s="5" t="s">
        <v>256</v>
      </c>
      <c r="U578" s="21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6.5" customHeight="1">
      <c r="A579" s="7" t="b">
        <v>0</v>
      </c>
      <c r="B579" s="6" t="s">
        <v>123</v>
      </c>
      <c r="C579" s="6" t="s">
        <v>1164</v>
      </c>
      <c r="D579" s="6" t="s">
        <v>1169</v>
      </c>
      <c r="E579" s="6" t="s">
        <v>374</v>
      </c>
      <c r="F579" s="8" t="s">
        <v>1170</v>
      </c>
      <c r="G579" s="6" t="s">
        <v>228</v>
      </c>
      <c r="H579" s="52">
        <v>1000000.0</v>
      </c>
      <c r="I579" s="35" t="s">
        <v>678</v>
      </c>
      <c r="J579" s="22">
        <v>270.0</v>
      </c>
      <c r="K579" s="22">
        <v>278.0</v>
      </c>
      <c r="L579" s="22">
        <v>4750.0</v>
      </c>
      <c r="M579" s="23">
        <v>0.54</v>
      </c>
      <c r="N579" s="24">
        <v>3.96</v>
      </c>
      <c r="O579" s="26" t="s">
        <v>71</v>
      </c>
      <c r="P579" s="26" t="s">
        <v>30</v>
      </c>
      <c r="Q579" s="27">
        <f t="shared" ref="Q579:Q580" si="244">L579/J579</f>
        <v>17.59259259</v>
      </c>
      <c r="R579" s="23">
        <f t="shared" ref="R579:R580" si="245">0+((ABS(0.5-M579)*1))</f>
        <v>0.04</v>
      </c>
      <c r="S579" s="27">
        <f t="shared" ref="S579:S580" si="246">Q579*(R579+1)</f>
        <v>18.2962963</v>
      </c>
      <c r="T579" s="6" t="s">
        <v>40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6.5" customHeight="1">
      <c r="A580" s="7" t="b">
        <v>0</v>
      </c>
      <c r="B580" s="6" t="s">
        <v>130</v>
      </c>
      <c r="C580" s="6" t="s">
        <v>1164</v>
      </c>
      <c r="D580" s="6" t="s">
        <v>1171</v>
      </c>
      <c r="E580" s="6" t="s">
        <v>24</v>
      </c>
      <c r="F580" s="8" t="s">
        <v>895</v>
      </c>
      <c r="G580" s="6" t="s">
        <v>228</v>
      </c>
      <c r="H580" s="19">
        <v>42000.0</v>
      </c>
      <c r="I580" s="10" t="s">
        <v>27</v>
      </c>
      <c r="J580" s="22">
        <v>197.0</v>
      </c>
      <c r="K580" s="22">
        <v>151.0</v>
      </c>
      <c r="L580" s="22">
        <v>2734.0</v>
      </c>
      <c r="M580" s="23">
        <v>0.55</v>
      </c>
      <c r="N580" s="24">
        <v>2.0</v>
      </c>
      <c r="O580" s="26" t="s">
        <v>29</v>
      </c>
      <c r="P580" s="26" t="s">
        <v>30</v>
      </c>
      <c r="Q580" s="27">
        <f t="shared" si="244"/>
        <v>13.87817259</v>
      </c>
      <c r="R580" s="23">
        <f t="shared" si="245"/>
        <v>0.05</v>
      </c>
      <c r="S580" s="27">
        <f t="shared" si="246"/>
        <v>14.57208122</v>
      </c>
      <c r="T580" s="6" t="s">
        <v>40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6.5" customHeight="1">
      <c r="A581" s="7" t="b">
        <v>0</v>
      </c>
      <c r="B581" s="5" t="s">
        <v>130</v>
      </c>
      <c r="C581" s="5" t="s">
        <v>1164</v>
      </c>
      <c r="D581" s="5" t="s">
        <v>1172</v>
      </c>
      <c r="E581" s="5" t="s">
        <v>231</v>
      </c>
      <c r="F581" s="36" t="s">
        <v>760</v>
      </c>
      <c r="G581" s="5" t="s">
        <v>228</v>
      </c>
      <c r="H581" s="9"/>
      <c r="I581" s="48"/>
      <c r="J581" s="9"/>
      <c r="K581" s="9"/>
      <c r="L581" s="9"/>
      <c r="M581" s="28"/>
      <c r="N581" s="29"/>
      <c r="O581" s="30"/>
      <c r="P581" s="30"/>
      <c r="Q581" s="16"/>
      <c r="R581" s="18"/>
      <c r="S581" s="16"/>
      <c r="T581" s="5" t="s">
        <v>103</v>
      </c>
      <c r="U581" s="21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6.5" customHeight="1">
      <c r="A582" s="7" t="b">
        <v>0</v>
      </c>
      <c r="B582" s="5" t="s">
        <v>427</v>
      </c>
      <c r="C582" s="5" t="s">
        <v>1164</v>
      </c>
      <c r="D582" s="5" t="s">
        <v>1173</v>
      </c>
      <c r="E582" s="5" t="s">
        <v>69</v>
      </c>
      <c r="F582" s="8" t="s">
        <v>1174</v>
      </c>
      <c r="G582" s="5" t="s">
        <v>228</v>
      </c>
      <c r="H582" s="9">
        <v>250000.0</v>
      </c>
      <c r="I582" s="10" t="s">
        <v>27</v>
      </c>
      <c r="J582" s="9"/>
      <c r="K582" s="9"/>
      <c r="L582" s="9"/>
      <c r="M582" s="28"/>
      <c r="N582" s="29"/>
      <c r="O582" s="30"/>
      <c r="P582" s="30"/>
      <c r="Q582" s="16"/>
      <c r="R582" s="18"/>
      <c r="S582" s="16"/>
      <c r="T582" s="5" t="s">
        <v>34</v>
      </c>
      <c r="U582" s="21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6.5" customHeight="1">
      <c r="A583" s="7" t="b">
        <v>0</v>
      </c>
      <c r="B583" s="6" t="s">
        <v>48</v>
      </c>
      <c r="C583" s="6" t="s">
        <v>1164</v>
      </c>
      <c r="D583" s="6" t="s">
        <v>1175</v>
      </c>
      <c r="E583" s="6" t="s">
        <v>92</v>
      </c>
      <c r="F583" s="25" t="s">
        <v>1176</v>
      </c>
      <c r="G583" s="6" t="s">
        <v>228</v>
      </c>
      <c r="H583" s="19">
        <v>31000.0</v>
      </c>
      <c r="I583" s="34" t="s">
        <v>62</v>
      </c>
      <c r="J583" s="22">
        <v>301.0</v>
      </c>
      <c r="K583" s="22">
        <v>267.0</v>
      </c>
      <c r="L583" s="22">
        <v>3575.0</v>
      </c>
      <c r="M583" s="23">
        <v>0.6</v>
      </c>
      <c r="N583" s="24">
        <v>3.46</v>
      </c>
      <c r="O583" s="26" t="s">
        <v>30</v>
      </c>
      <c r="P583" s="26" t="s">
        <v>30</v>
      </c>
      <c r="Q583" s="27">
        <f>L583/J583</f>
        <v>11.87707641</v>
      </c>
      <c r="R583" s="23">
        <f>0+((ABS(0.5-M583)*1))</f>
        <v>0.1</v>
      </c>
      <c r="S583" s="27">
        <f>Q583*(R583+1)</f>
        <v>13.06478405</v>
      </c>
      <c r="T583" s="6" t="s">
        <v>72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6.5" customHeight="1">
      <c r="A584" s="7" t="b">
        <v>0</v>
      </c>
      <c r="B584" s="5" t="s">
        <v>658</v>
      </c>
      <c r="C584" s="5" t="s">
        <v>1164</v>
      </c>
      <c r="D584" s="5" t="s">
        <v>1177</v>
      </c>
      <c r="E584" s="5" t="s">
        <v>221</v>
      </c>
      <c r="F584" s="17" t="s">
        <v>1178</v>
      </c>
      <c r="G584" s="5" t="s">
        <v>228</v>
      </c>
      <c r="H584" s="9"/>
      <c r="I584" s="19"/>
      <c r="J584" s="9"/>
      <c r="K584" s="9"/>
      <c r="L584" s="9"/>
      <c r="M584" s="28"/>
      <c r="N584" s="29"/>
      <c r="O584" s="30"/>
      <c r="P584" s="30"/>
      <c r="Q584" s="16"/>
      <c r="R584" s="18"/>
      <c r="S584" s="16"/>
      <c r="T584" s="5" t="s">
        <v>34</v>
      </c>
      <c r="U584" s="21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6.5" customHeight="1">
      <c r="A585" s="7" t="b">
        <v>0</v>
      </c>
      <c r="B585" s="6" t="s">
        <v>66</v>
      </c>
      <c r="C585" s="6" t="s">
        <v>1164</v>
      </c>
      <c r="D585" s="6" t="s">
        <v>1179</v>
      </c>
      <c r="E585" s="6" t="s">
        <v>215</v>
      </c>
      <c r="F585" s="8" t="s">
        <v>1180</v>
      </c>
      <c r="G585" s="6" t="s">
        <v>228</v>
      </c>
      <c r="H585" s="19">
        <v>30000.0</v>
      </c>
      <c r="I585" s="10" t="s">
        <v>27</v>
      </c>
      <c r="J585" s="22">
        <v>232.0</v>
      </c>
      <c r="K585" s="22">
        <v>224.0</v>
      </c>
      <c r="L585" s="22">
        <v>3219.0</v>
      </c>
      <c r="M585" s="23">
        <v>0.6</v>
      </c>
      <c r="N585" s="24">
        <v>2.0</v>
      </c>
      <c r="O585" s="26" t="s">
        <v>71</v>
      </c>
      <c r="P585" s="26" t="s">
        <v>30</v>
      </c>
      <c r="Q585" s="27">
        <f t="shared" ref="Q585:Q589" si="247">L585/J585</f>
        <v>13.875</v>
      </c>
      <c r="R585" s="23">
        <f t="shared" ref="R585:R589" si="248">0+((ABS(0.5-M585)*1))</f>
        <v>0.1</v>
      </c>
      <c r="S585" s="27">
        <f t="shared" ref="S585:S589" si="249">Q585*(R585+1)</f>
        <v>15.2625</v>
      </c>
      <c r="T585" s="6" t="s">
        <v>72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6.5" customHeight="1">
      <c r="A586" s="7" t="b">
        <v>0</v>
      </c>
      <c r="B586" s="6" t="s">
        <v>473</v>
      </c>
      <c r="C586" s="6" t="s">
        <v>1164</v>
      </c>
      <c r="D586" s="6" t="s">
        <v>1181</v>
      </c>
      <c r="E586" s="6" t="s">
        <v>215</v>
      </c>
      <c r="F586" s="8" t="s">
        <v>414</v>
      </c>
      <c r="G586" s="6" t="s">
        <v>228</v>
      </c>
      <c r="H586" s="19">
        <v>27000.0</v>
      </c>
      <c r="I586" s="20" t="s">
        <v>33</v>
      </c>
      <c r="J586" s="22">
        <v>255.0</v>
      </c>
      <c r="K586" s="22">
        <v>224.0</v>
      </c>
      <c r="L586" s="22">
        <v>3175.0</v>
      </c>
      <c r="M586" s="23">
        <v>0.6</v>
      </c>
      <c r="N586" s="24">
        <v>2.0</v>
      </c>
      <c r="O586" s="26" t="s">
        <v>71</v>
      </c>
      <c r="P586" s="26" t="s">
        <v>30</v>
      </c>
      <c r="Q586" s="27">
        <f t="shared" si="247"/>
        <v>12.45098039</v>
      </c>
      <c r="R586" s="23">
        <f t="shared" si="248"/>
        <v>0.1</v>
      </c>
      <c r="S586" s="27">
        <f t="shared" si="249"/>
        <v>13.69607843</v>
      </c>
      <c r="T586" s="6" t="s">
        <v>40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6.5" customHeight="1">
      <c r="A587" s="7" t="b">
        <v>0</v>
      </c>
      <c r="B587" s="6" t="s">
        <v>146</v>
      </c>
      <c r="C587" s="6" t="s">
        <v>1164</v>
      </c>
      <c r="D587" s="6" t="s">
        <v>1182</v>
      </c>
      <c r="E587" s="6" t="s">
        <v>148</v>
      </c>
      <c r="F587" s="8" t="s">
        <v>1183</v>
      </c>
      <c r="G587" s="6" t="s">
        <v>228</v>
      </c>
      <c r="H587" s="19">
        <v>12000.0</v>
      </c>
      <c r="I587" s="10" t="s">
        <v>27</v>
      </c>
      <c r="J587" s="22">
        <v>187.0</v>
      </c>
      <c r="K587" s="22">
        <v>133.0</v>
      </c>
      <c r="L587" s="22">
        <v>2560.0</v>
      </c>
      <c r="M587" s="23">
        <v>0.64</v>
      </c>
      <c r="N587" s="24">
        <v>1.8</v>
      </c>
      <c r="O587" s="26" t="s">
        <v>30</v>
      </c>
      <c r="P587" s="26" t="s">
        <v>30</v>
      </c>
      <c r="Q587" s="27">
        <f t="shared" si="247"/>
        <v>13.68983957</v>
      </c>
      <c r="R587" s="23">
        <f t="shared" si="248"/>
        <v>0.14</v>
      </c>
      <c r="S587" s="27">
        <f t="shared" si="249"/>
        <v>15.60641711</v>
      </c>
      <c r="T587" s="6" t="s">
        <v>40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6.5" customHeight="1">
      <c r="A588" s="7" t="b">
        <v>0</v>
      </c>
      <c r="B588" s="6" t="s">
        <v>266</v>
      </c>
      <c r="C588" s="6" t="s">
        <v>1164</v>
      </c>
      <c r="D588" s="6" t="s">
        <v>1184</v>
      </c>
      <c r="E588" s="6" t="s">
        <v>69</v>
      </c>
      <c r="F588" s="25" t="s">
        <v>1185</v>
      </c>
      <c r="G588" s="6" t="s">
        <v>228</v>
      </c>
      <c r="H588" s="19">
        <v>15500.0</v>
      </c>
      <c r="I588" s="10" t="s">
        <v>27</v>
      </c>
      <c r="J588" s="22">
        <v>276.0</v>
      </c>
      <c r="K588" s="22">
        <v>278.0</v>
      </c>
      <c r="L588" s="22">
        <v>3263.0</v>
      </c>
      <c r="M588" s="23">
        <v>0.57</v>
      </c>
      <c r="N588" s="24">
        <v>2.49</v>
      </c>
      <c r="O588" s="26" t="s">
        <v>29</v>
      </c>
      <c r="P588" s="26" t="s">
        <v>30</v>
      </c>
      <c r="Q588" s="27">
        <f t="shared" si="247"/>
        <v>11.82246377</v>
      </c>
      <c r="R588" s="23">
        <f t="shared" si="248"/>
        <v>0.07</v>
      </c>
      <c r="S588" s="27">
        <f t="shared" si="249"/>
        <v>12.65003623</v>
      </c>
      <c r="T588" s="6" t="s">
        <v>122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6.5" customHeight="1">
      <c r="A589" s="7" t="b">
        <v>0</v>
      </c>
      <c r="B589" s="6" t="s">
        <v>618</v>
      </c>
      <c r="C589" s="6" t="s">
        <v>1164</v>
      </c>
      <c r="D589" s="6" t="s">
        <v>1186</v>
      </c>
      <c r="E589" s="6" t="s">
        <v>69</v>
      </c>
      <c r="F589" s="8" t="s">
        <v>51</v>
      </c>
      <c r="G589" s="6" t="s">
        <v>228</v>
      </c>
      <c r="H589" s="19">
        <v>20000.0</v>
      </c>
      <c r="I589" s="10" t="s">
        <v>27</v>
      </c>
      <c r="J589" s="22">
        <v>276.0</v>
      </c>
      <c r="K589" s="22">
        <v>267.0</v>
      </c>
      <c r="L589" s="22">
        <v>3395.0</v>
      </c>
      <c r="M589" s="23">
        <v>0.52</v>
      </c>
      <c r="N589" s="24">
        <v>2.49</v>
      </c>
      <c r="O589" s="26" t="s">
        <v>29</v>
      </c>
      <c r="P589" s="26" t="s">
        <v>30</v>
      </c>
      <c r="Q589" s="27">
        <f t="shared" si="247"/>
        <v>12.30072464</v>
      </c>
      <c r="R589" s="23">
        <f t="shared" si="248"/>
        <v>0.02</v>
      </c>
      <c r="S589" s="27">
        <f t="shared" si="249"/>
        <v>12.54673913</v>
      </c>
      <c r="T589" s="6" t="s">
        <v>40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6.5" customHeight="1">
      <c r="A590" s="7" t="b">
        <v>0</v>
      </c>
      <c r="B590" s="5" t="s">
        <v>658</v>
      </c>
      <c r="C590" s="5" t="s">
        <v>1164</v>
      </c>
      <c r="D590" s="5" t="s">
        <v>1187</v>
      </c>
      <c r="E590" s="5" t="s">
        <v>221</v>
      </c>
      <c r="F590" s="17" t="s">
        <v>1188</v>
      </c>
      <c r="G590" s="5" t="s">
        <v>228</v>
      </c>
      <c r="H590" s="9"/>
      <c r="I590" s="48"/>
      <c r="J590" s="9"/>
      <c r="K590" s="9"/>
      <c r="L590" s="9"/>
      <c r="M590" s="28"/>
      <c r="N590" s="29"/>
      <c r="O590" s="30"/>
      <c r="P590" s="30"/>
      <c r="Q590" s="16"/>
      <c r="R590" s="18"/>
      <c r="S590" s="16"/>
      <c r="T590" s="5" t="s">
        <v>34</v>
      </c>
      <c r="U590" s="21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6.5" customHeight="1">
      <c r="A591" s="7" t="b">
        <v>0</v>
      </c>
      <c r="B591" s="6" t="s">
        <v>268</v>
      </c>
      <c r="C591" s="6" t="s">
        <v>1164</v>
      </c>
      <c r="D591" s="6" t="s">
        <v>1189</v>
      </c>
      <c r="E591" s="6" t="s">
        <v>69</v>
      </c>
      <c r="F591" s="17" t="s">
        <v>1190</v>
      </c>
      <c r="G591" s="6" t="s">
        <v>228</v>
      </c>
      <c r="H591" s="19">
        <v>10000.0</v>
      </c>
      <c r="I591" s="20" t="s">
        <v>33</v>
      </c>
      <c r="J591" s="22">
        <v>78.0</v>
      </c>
      <c r="K591" s="22">
        <v>118.0</v>
      </c>
      <c r="L591" s="22">
        <v>3020.0</v>
      </c>
      <c r="M591" s="23">
        <v>0.56</v>
      </c>
      <c r="N591" s="24">
        <v>2.0</v>
      </c>
      <c r="O591" s="26" t="s">
        <v>29</v>
      </c>
      <c r="P591" s="26" t="s">
        <v>30</v>
      </c>
      <c r="Q591" s="27">
        <f t="shared" ref="Q591:Q599" si="250">L591/J591</f>
        <v>38.71794872</v>
      </c>
      <c r="R591" s="23">
        <f t="shared" ref="R591:R599" si="251">0+((ABS(0.5-M591)*1))</f>
        <v>0.06</v>
      </c>
      <c r="S591" s="27">
        <f t="shared" ref="S591:S599" si="252">Q591*(R591+1)</f>
        <v>41.04102564</v>
      </c>
      <c r="T591" s="6" t="s">
        <v>40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6.5" customHeight="1">
      <c r="A592" s="7" t="b">
        <v>0</v>
      </c>
      <c r="B592" s="6" t="s">
        <v>337</v>
      </c>
      <c r="C592" s="6" t="s">
        <v>1164</v>
      </c>
      <c r="D592" s="6" t="s">
        <v>1191</v>
      </c>
      <c r="E592" s="6" t="s">
        <v>374</v>
      </c>
      <c r="F592" s="17" t="s">
        <v>993</v>
      </c>
      <c r="G592" s="6" t="s">
        <v>228</v>
      </c>
      <c r="H592" s="19">
        <v>103000.0</v>
      </c>
      <c r="I592" s="20" t="s">
        <v>33</v>
      </c>
      <c r="J592" s="22">
        <v>135.0</v>
      </c>
      <c r="K592" s="22">
        <v>210.0</v>
      </c>
      <c r="L592" s="22">
        <v>3417.0</v>
      </c>
      <c r="M592" s="23">
        <v>0.54</v>
      </c>
      <c r="N592" s="24">
        <v>4.23</v>
      </c>
      <c r="O592" s="26" t="s">
        <v>71</v>
      </c>
      <c r="P592" s="26" t="s">
        <v>30</v>
      </c>
      <c r="Q592" s="27">
        <f t="shared" si="250"/>
        <v>25.31111111</v>
      </c>
      <c r="R592" s="23">
        <f t="shared" si="251"/>
        <v>0.04</v>
      </c>
      <c r="S592" s="27">
        <f t="shared" si="252"/>
        <v>26.32355556</v>
      </c>
      <c r="T592" s="6" t="s">
        <v>40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6.5" customHeight="1">
      <c r="A593" s="7" t="b">
        <v>0</v>
      </c>
      <c r="B593" s="37" t="s">
        <v>48</v>
      </c>
      <c r="C593" s="37" t="s">
        <v>1164</v>
      </c>
      <c r="D593" s="37" t="s">
        <v>1192</v>
      </c>
      <c r="E593" s="37" t="s">
        <v>189</v>
      </c>
      <c r="F593" s="25" t="s">
        <v>1193</v>
      </c>
      <c r="G593" s="37" t="s">
        <v>228</v>
      </c>
      <c r="H593" s="38">
        <v>45000.0</v>
      </c>
      <c r="I593" s="10" t="s">
        <v>27</v>
      </c>
      <c r="J593" s="39">
        <v>300.0</v>
      </c>
      <c r="K593" s="39">
        <v>295.0</v>
      </c>
      <c r="L593" s="39">
        <v>3186.0</v>
      </c>
      <c r="M593" s="40">
        <v>0.59</v>
      </c>
      <c r="N593" s="41">
        <v>1.62</v>
      </c>
      <c r="O593" s="42" t="s">
        <v>71</v>
      </c>
      <c r="P593" s="43" t="s">
        <v>30</v>
      </c>
      <c r="Q593" s="44">
        <f t="shared" si="250"/>
        <v>10.62</v>
      </c>
      <c r="R593" s="45">
        <f t="shared" si="251"/>
        <v>0.09</v>
      </c>
      <c r="S593" s="44">
        <f t="shared" si="252"/>
        <v>11.5758</v>
      </c>
      <c r="T593" s="37" t="s">
        <v>88</v>
      </c>
      <c r="U593" s="37" t="s">
        <v>89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6.5" customHeight="1">
      <c r="A594" s="7" t="b">
        <v>0</v>
      </c>
      <c r="B594" s="6" t="s">
        <v>180</v>
      </c>
      <c r="C594" s="6" t="s">
        <v>1164</v>
      </c>
      <c r="D594" s="6" t="s">
        <v>1194</v>
      </c>
      <c r="E594" s="6" t="s">
        <v>24</v>
      </c>
      <c r="F594" s="36" t="s">
        <v>1195</v>
      </c>
      <c r="G594" s="6" t="s">
        <v>228</v>
      </c>
      <c r="H594" s="19">
        <v>45000.0</v>
      </c>
      <c r="I594" s="10" t="s">
        <v>27</v>
      </c>
      <c r="J594" s="22">
        <v>335.0</v>
      </c>
      <c r="K594" s="22">
        <v>365.0</v>
      </c>
      <c r="L594" s="22">
        <v>3397.0</v>
      </c>
      <c r="M594" s="23">
        <v>0.51</v>
      </c>
      <c r="N594" s="24">
        <v>3.0</v>
      </c>
      <c r="O594" s="26" t="s">
        <v>29</v>
      </c>
      <c r="P594" s="26" t="s">
        <v>30</v>
      </c>
      <c r="Q594" s="27">
        <f t="shared" si="250"/>
        <v>10.14029851</v>
      </c>
      <c r="R594" s="23">
        <f t="shared" si="251"/>
        <v>0.01</v>
      </c>
      <c r="S594" s="27">
        <f t="shared" si="252"/>
        <v>10.24170149</v>
      </c>
      <c r="T594" s="6" t="s">
        <v>137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6.5" customHeight="1">
      <c r="A595" s="7" t="b">
        <v>0</v>
      </c>
      <c r="B595" s="6" t="s">
        <v>90</v>
      </c>
      <c r="C595" s="6" t="s">
        <v>1164</v>
      </c>
      <c r="D595" s="6" t="s">
        <v>1196</v>
      </c>
      <c r="E595" s="6" t="s">
        <v>943</v>
      </c>
      <c r="F595" s="25" t="s">
        <v>1197</v>
      </c>
      <c r="G595" s="6" t="s">
        <v>228</v>
      </c>
      <c r="H595" s="19">
        <v>54000.0</v>
      </c>
      <c r="I595" s="34" t="s">
        <v>62</v>
      </c>
      <c r="J595" s="22">
        <v>257.0</v>
      </c>
      <c r="K595" s="22">
        <v>265.0</v>
      </c>
      <c r="L595" s="22">
        <v>2888.0</v>
      </c>
      <c r="M595" s="23">
        <v>0.59</v>
      </c>
      <c r="N595" s="24">
        <v>1.62</v>
      </c>
      <c r="O595" s="26" t="s">
        <v>71</v>
      </c>
      <c r="P595" s="26" t="s">
        <v>30</v>
      </c>
      <c r="Q595" s="27">
        <f t="shared" si="250"/>
        <v>11.23735409</v>
      </c>
      <c r="R595" s="23">
        <f t="shared" si="251"/>
        <v>0.09</v>
      </c>
      <c r="S595" s="27">
        <f t="shared" si="252"/>
        <v>12.24871595</v>
      </c>
      <c r="T595" s="6" t="s">
        <v>40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6.5" customHeight="1">
      <c r="A596" s="7" t="b">
        <v>0</v>
      </c>
      <c r="B596" s="6" t="s">
        <v>58</v>
      </c>
      <c r="C596" s="6" t="s">
        <v>1164</v>
      </c>
      <c r="D596" s="6" t="s">
        <v>1198</v>
      </c>
      <c r="E596" s="6" t="s">
        <v>24</v>
      </c>
      <c r="F596" s="25" t="s">
        <v>201</v>
      </c>
      <c r="G596" s="6" t="s">
        <v>228</v>
      </c>
      <c r="H596" s="19">
        <v>28000.0</v>
      </c>
      <c r="I596" s="20" t="s">
        <v>33</v>
      </c>
      <c r="J596" s="22">
        <v>228.0</v>
      </c>
      <c r="K596" s="22">
        <v>184.0</v>
      </c>
      <c r="L596" s="22">
        <v>2811.0</v>
      </c>
      <c r="M596" s="23">
        <v>0.53</v>
      </c>
      <c r="N596" s="24">
        <v>2.39</v>
      </c>
      <c r="O596" s="26" t="s">
        <v>29</v>
      </c>
      <c r="P596" s="26" t="s">
        <v>30</v>
      </c>
      <c r="Q596" s="27">
        <f t="shared" si="250"/>
        <v>12.32894737</v>
      </c>
      <c r="R596" s="23">
        <f t="shared" si="251"/>
        <v>0.03</v>
      </c>
      <c r="S596" s="27">
        <f t="shared" si="252"/>
        <v>12.69881579</v>
      </c>
      <c r="T596" s="6" t="s">
        <v>40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6.5" customHeight="1">
      <c r="A597" s="7" t="b">
        <v>0</v>
      </c>
      <c r="B597" s="37" t="s">
        <v>242</v>
      </c>
      <c r="C597" s="37" t="s">
        <v>1164</v>
      </c>
      <c r="D597" s="37" t="s">
        <v>1199</v>
      </c>
      <c r="E597" s="37" t="s">
        <v>126</v>
      </c>
      <c r="F597" s="50" t="s">
        <v>1200</v>
      </c>
      <c r="G597" s="37" t="s">
        <v>228</v>
      </c>
      <c r="H597" s="38">
        <v>420000.0</v>
      </c>
      <c r="I597" s="34" t="s">
        <v>62</v>
      </c>
      <c r="J597" s="39">
        <v>700.0</v>
      </c>
      <c r="K597" s="39">
        <v>539.0</v>
      </c>
      <c r="L597" s="39">
        <v>3109.0</v>
      </c>
      <c r="M597" s="40">
        <v>0.61</v>
      </c>
      <c r="N597" s="41">
        <v>3.0</v>
      </c>
      <c r="O597" s="42" t="s">
        <v>29</v>
      </c>
      <c r="P597" s="43" t="s">
        <v>30</v>
      </c>
      <c r="Q597" s="44">
        <f t="shared" si="250"/>
        <v>4.441428571</v>
      </c>
      <c r="R597" s="45">
        <f t="shared" si="251"/>
        <v>0.11</v>
      </c>
      <c r="S597" s="44">
        <f t="shared" si="252"/>
        <v>4.929985714</v>
      </c>
      <c r="T597" s="37" t="s">
        <v>88</v>
      </c>
      <c r="U597" s="37" t="s">
        <v>643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6.5" customHeight="1">
      <c r="A598" s="7" t="b">
        <v>0</v>
      </c>
      <c r="B598" s="6" t="s">
        <v>21</v>
      </c>
      <c r="C598" s="6" t="s">
        <v>1164</v>
      </c>
      <c r="D598" s="6" t="s">
        <v>1201</v>
      </c>
      <c r="E598" s="6" t="s">
        <v>226</v>
      </c>
      <c r="F598" s="17" t="s">
        <v>1202</v>
      </c>
      <c r="G598" s="6" t="s">
        <v>228</v>
      </c>
      <c r="H598" s="19">
        <v>25000.0</v>
      </c>
      <c r="I598" s="20" t="s">
        <v>33</v>
      </c>
      <c r="J598" s="22">
        <v>98.0</v>
      </c>
      <c r="K598" s="22">
        <v>397.0</v>
      </c>
      <c r="L598" s="22">
        <v>3109.0</v>
      </c>
      <c r="M598" s="23">
        <v>0.6</v>
      </c>
      <c r="N598" s="24">
        <v>1.5</v>
      </c>
      <c r="O598" s="26" t="s">
        <v>30</v>
      </c>
      <c r="P598" s="26" t="s">
        <v>30</v>
      </c>
      <c r="Q598" s="27">
        <f t="shared" si="250"/>
        <v>31.7244898</v>
      </c>
      <c r="R598" s="23">
        <f t="shared" si="251"/>
        <v>0.1</v>
      </c>
      <c r="S598" s="27">
        <f t="shared" si="252"/>
        <v>34.89693878</v>
      </c>
      <c r="T598" s="6" t="s">
        <v>40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6.5" customHeight="1">
      <c r="A599" s="7" t="b">
        <v>0</v>
      </c>
      <c r="B599" s="6" t="s">
        <v>485</v>
      </c>
      <c r="C599" s="6" t="s">
        <v>1164</v>
      </c>
      <c r="D599" s="6" t="s">
        <v>1203</v>
      </c>
      <c r="E599" s="6" t="s">
        <v>153</v>
      </c>
      <c r="F599" s="8" t="s">
        <v>530</v>
      </c>
      <c r="G599" s="6" t="s">
        <v>228</v>
      </c>
      <c r="H599" s="19">
        <v>70000.0</v>
      </c>
      <c r="I599" s="10" t="s">
        <v>27</v>
      </c>
      <c r="J599" s="22">
        <v>326.0</v>
      </c>
      <c r="K599" s="22">
        <v>465.0</v>
      </c>
      <c r="L599" s="22">
        <v>5038.0</v>
      </c>
      <c r="M599" s="23">
        <v>0.5</v>
      </c>
      <c r="N599" s="24">
        <v>3.29</v>
      </c>
      <c r="O599" s="26" t="s">
        <v>71</v>
      </c>
      <c r="P599" s="26" t="s">
        <v>30</v>
      </c>
      <c r="Q599" s="27">
        <f t="shared" si="250"/>
        <v>15.45398773</v>
      </c>
      <c r="R599" s="23">
        <f t="shared" si="251"/>
        <v>0</v>
      </c>
      <c r="S599" s="27">
        <f t="shared" si="252"/>
        <v>15.45398773</v>
      </c>
      <c r="T599" s="6" t="s">
        <v>40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6.5" customHeight="1">
      <c r="A600" s="7" t="b">
        <v>0</v>
      </c>
      <c r="B600" s="5" t="s">
        <v>41</v>
      </c>
      <c r="C600" s="5" t="s">
        <v>1164</v>
      </c>
      <c r="D600" s="5" t="s">
        <v>1204</v>
      </c>
      <c r="E600" s="5" t="s">
        <v>374</v>
      </c>
      <c r="F600" s="17" t="s">
        <v>584</v>
      </c>
      <c r="G600" s="5" t="s">
        <v>228</v>
      </c>
      <c r="H600" s="9">
        <v>250000.0</v>
      </c>
      <c r="I600" s="10" t="s">
        <v>27</v>
      </c>
      <c r="J600" s="9"/>
      <c r="K600" s="9"/>
      <c r="L600" s="9"/>
      <c r="M600" s="28"/>
      <c r="N600" s="29"/>
      <c r="O600" s="30"/>
      <c r="P600" s="30"/>
      <c r="Q600" s="16"/>
      <c r="R600" s="18"/>
      <c r="S600" s="16"/>
      <c r="T600" s="5" t="s">
        <v>34</v>
      </c>
      <c r="U600" s="21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6.5" customHeight="1">
      <c r="A601" s="7" t="b">
        <v>0</v>
      </c>
      <c r="B601" s="6" t="s">
        <v>242</v>
      </c>
      <c r="C601" s="6" t="s">
        <v>1164</v>
      </c>
      <c r="D601" s="6" t="s">
        <v>1205</v>
      </c>
      <c r="E601" s="6" t="s">
        <v>148</v>
      </c>
      <c r="F601" s="25" t="s">
        <v>1206</v>
      </c>
      <c r="G601" s="6" t="s">
        <v>228</v>
      </c>
      <c r="H601" s="19">
        <v>28000.0</v>
      </c>
      <c r="I601" s="10" t="s">
        <v>27</v>
      </c>
      <c r="J601" s="22">
        <v>241.0</v>
      </c>
      <c r="K601" s="22">
        <v>228.0</v>
      </c>
      <c r="L601" s="22">
        <v>2657.0</v>
      </c>
      <c r="M601" s="23">
        <v>0.42</v>
      </c>
      <c r="N601" s="24">
        <v>2.0</v>
      </c>
      <c r="O601" s="26" t="s">
        <v>29</v>
      </c>
      <c r="P601" s="26" t="s">
        <v>77</v>
      </c>
      <c r="Q601" s="27">
        <f>L601/J601</f>
        <v>11.02489627</v>
      </c>
      <c r="R601" s="23">
        <f>0+((ABS(0.5-M601)*1))</f>
        <v>0.08</v>
      </c>
      <c r="S601" s="27">
        <f>Q601*(R601+1)</f>
        <v>11.90688797</v>
      </c>
      <c r="T601" s="6" t="s">
        <v>40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6.5" customHeight="1">
      <c r="A602" s="7" t="b">
        <v>0</v>
      </c>
      <c r="B602" s="5" t="s">
        <v>477</v>
      </c>
      <c r="C602" s="5" t="s">
        <v>1164</v>
      </c>
      <c r="D602" s="5" t="s">
        <v>1207</v>
      </c>
      <c r="E602" s="5" t="s">
        <v>148</v>
      </c>
      <c r="F602" s="17" t="s">
        <v>1208</v>
      </c>
      <c r="G602" s="5" t="s">
        <v>228</v>
      </c>
      <c r="H602" s="9">
        <v>250000.0</v>
      </c>
      <c r="I602" s="34" t="s">
        <v>62</v>
      </c>
      <c r="J602" s="9"/>
      <c r="K602" s="9"/>
      <c r="L602" s="9"/>
      <c r="M602" s="28"/>
      <c r="N602" s="29"/>
      <c r="O602" s="30"/>
      <c r="P602" s="30"/>
      <c r="Q602" s="16"/>
      <c r="R602" s="18"/>
      <c r="S602" s="16"/>
      <c r="T602" s="5" t="s">
        <v>34</v>
      </c>
      <c r="U602" s="21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6.5" customHeight="1">
      <c r="A603" s="7" t="b">
        <v>0</v>
      </c>
      <c r="B603" s="37" t="s">
        <v>292</v>
      </c>
      <c r="C603" s="37" t="s">
        <v>1164</v>
      </c>
      <c r="D603" s="37" t="s">
        <v>1209</v>
      </c>
      <c r="E603" s="37" t="s">
        <v>43</v>
      </c>
      <c r="F603" s="8" t="s">
        <v>1210</v>
      </c>
      <c r="G603" s="37" t="s">
        <v>228</v>
      </c>
      <c r="H603" s="38">
        <v>40000.0</v>
      </c>
      <c r="I603" s="20" t="s">
        <v>33</v>
      </c>
      <c r="J603" s="39">
        <v>220.0</v>
      </c>
      <c r="K603" s="39">
        <v>206.0</v>
      </c>
      <c r="L603" s="39">
        <v>3571.0</v>
      </c>
      <c r="M603" s="40">
        <v>0.56</v>
      </c>
      <c r="N603" s="41">
        <v>1.99</v>
      </c>
      <c r="O603" s="42" t="s">
        <v>30</v>
      </c>
      <c r="P603" s="43" t="s">
        <v>30</v>
      </c>
      <c r="Q603" s="44">
        <f t="shared" ref="Q603:Q605" si="253">L603/J603</f>
        <v>16.23181818</v>
      </c>
      <c r="R603" s="45">
        <f t="shared" ref="R603:R605" si="254">0+((ABS(0.5-M603)*1))</f>
        <v>0.06</v>
      </c>
      <c r="S603" s="44">
        <f t="shared" ref="S603:S605" si="255">Q603*(R603+1)</f>
        <v>17.20572727</v>
      </c>
      <c r="T603" s="37" t="s">
        <v>88</v>
      </c>
      <c r="U603" s="37" t="s">
        <v>89</v>
      </c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6.5" customHeight="1">
      <c r="A604" s="7" t="b">
        <v>0</v>
      </c>
      <c r="B604" s="6" t="s">
        <v>618</v>
      </c>
      <c r="C604" s="6" t="s">
        <v>1164</v>
      </c>
      <c r="D604" s="6" t="s">
        <v>1211</v>
      </c>
      <c r="E604" s="6" t="s">
        <v>226</v>
      </c>
      <c r="F604" s="17" t="s">
        <v>1212</v>
      </c>
      <c r="G604" s="6" t="s">
        <v>228</v>
      </c>
      <c r="H604" s="19">
        <v>11000.0</v>
      </c>
      <c r="I604" s="10" t="s">
        <v>27</v>
      </c>
      <c r="J604" s="22">
        <v>108.0</v>
      </c>
      <c r="K604" s="22">
        <v>97.0</v>
      </c>
      <c r="L604" s="22">
        <v>2050.0</v>
      </c>
      <c r="M604" s="23">
        <v>0.62</v>
      </c>
      <c r="N604" s="24">
        <v>1.5</v>
      </c>
      <c r="O604" s="26" t="s">
        <v>30</v>
      </c>
      <c r="P604" s="26" t="s">
        <v>30</v>
      </c>
      <c r="Q604" s="27">
        <f t="shared" si="253"/>
        <v>18.98148148</v>
      </c>
      <c r="R604" s="23">
        <f t="shared" si="254"/>
        <v>0.12</v>
      </c>
      <c r="S604" s="27">
        <f t="shared" si="255"/>
        <v>21.25925926</v>
      </c>
      <c r="T604" s="6" t="s">
        <v>40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6.5" customHeight="1">
      <c r="A605" s="7" t="b">
        <v>0</v>
      </c>
      <c r="B605" s="6" t="s">
        <v>266</v>
      </c>
      <c r="C605" s="6" t="s">
        <v>1164</v>
      </c>
      <c r="D605" s="6" t="s">
        <v>1213</v>
      </c>
      <c r="E605" s="6" t="s">
        <v>148</v>
      </c>
      <c r="F605" s="8" t="s">
        <v>1214</v>
      </c>
      <c r="G605" s="6" t="s">
        <v>228</v>
      </c>
      <c r="H605" s="19">
        <v>18000.0</v>
      </c>
      <c r="I605" s="10" t="s">
        <v>27</v>
      </c>
      <c r="J605" s="22">
        <v>276.0</v>
      </c>
      <c r="K605" s="22">
        <v>279.0</v>
      </c>
      <c r="L605" s="22">
        <v>3461.0</v>
      </c>
      <c r="M605" s="23">
        <v>0.53</v>
      </c>
      <c r="N605" s="24">
        <v>2.49</v>
      </c>
      <c r="O605" s="26" t="s">
        <v>29</v>
      </c>
      <c r="P605" s="26" t="s">
        <v>30</v>
      </c>
      <c r="Q605" s="27">
        <f t="shared" si="253"/>
        <v>12.53985507</v>
      </c>
      <c r="R605" s="23">
        <f t="shared" si="254"/>
        <v>0.03</v>
      </c>
      <c r="S605" s="27">
        <f t="shared" si="255"/>
        <v>12.91605072</v>
      </c>
      <c r="T605" s="6" t="s">
        <v>137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6.5" customHeight="1">
      <c r="A606" s="7" t="b">
        <v>0</v>
      </c>
      <c r="B606" s="5" t="s">
        <v>97</v>
      </c>
      <c r="C606" s="5" t="s">
        <v>1164</v>
      </c>
      <c r="D606" s="5" t="s">
        <v>1215</v>
      </c>
      <c r="E606" s="5" t="s">
        <v>221</v>
      </c>
      <c r="F606" s="17" t="s">
        <v>1216</v>
      </c>
      <c r="G606" s="5" t="s">
        <v>228</v>
      </c>
      <c r="H606" s="9"/>
      <c r="I606" s="48"/>
      <c r="J606" s="9"/>
      <c r="K606" s="9"/>
      <c r="L606" s="9"/>
      <c r="M606" s="28"/>
      <c r="N606" s="29"/>
      <c r="O606" s="30"/>
      <c r="P606" s="30"/>
      <c r="Q606" s="16"/>
      <c r="R606" s="18"/>
      <c r="S606" s="16"/>
      <c r="T606" s="5" t="s">
        <v>1217</v>
      </c>
      <c r="U606" s="21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6.5" customHeight="1">
      <c r="A607" s="7" t="b">
        <v>0</v>
      </c>
      <c r="B607" s="37" t="s">
        <v>97</v>
      </c>
      <c r="C607" s="37" t="s">
        <v>1164</v>
      </c>
      <c r="D607" s="37" t="s">
        <v>1218</v>
      </c>
      <c r="E607" s="37" t="s">
        <v>221</v>
      </c>
      <c r="F607" s="17" t="s">
        <v>1216</v>
      </c>
      <c r="G607" s="37" t="s">
        <v>228</v>
      </c>
      <c r="H607" s="38">
        <v>35000.0</v>
      </c>
      <c r="I607" s="10" t="s">
        <v>27</v>
      </c>
      <c r="J607" s="39">
        <v>44.0</v>
      </c>
      <c r="K607" s="39">
        <v>49.0</v>
      </c>
      <c r="L607" s="39">
        <v>1329.0</v>
      </c>
      <c r="M607" s="40">
        <v>0.5</v>
      </c>
      <c r="N607" s="41">
        <v>0.79</v>
      </c>
      <c r="O607" s="42" t="s">
        <v>29</v>
      </c>
      <c r="P607" s="43" t="s">
        <v>30</v>
      </c>
      <c r="Q607" s="44">
        <f t="shared" ref="Q607:Q608" si="256">L607/J607</f>
        <v>30.20454545</v>
      </c>
      <c r="R607" s="45">
        <f t="shared" ref="R607:R608" si="257">0+((ABS(0.5-M607)*1))</f>
        <v>0</v>
      </c>
      <c r="S607" s="44">
        <f t="shared" ref="S607:S608" si="258">Q607*(R607+1)</f>
        <v>30.20454545</v>
      </c>
      <c r="T607" s="37" t="s">
        <v>88</v>
      </c>
      <c r="U607" s="37" t="s">
        <v>1034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6.5" customHeight="1">
      <c r="A608" s="7" t="b">
        <v>0</v>
      </c>
      <c r="B608" s="6" t="s">
        <v>573</v>
      </c>
      <c r="C608" s="6" t="s">
        <v>1164</v>
      </c>
      <c r="D608" s="6" t="s">
        <v>1219</v>
      </c>
      <c r="E608" s="6" t="s">
        <v>148</v>
      </c>
      <c r="F608" s="17" t="s">
        <v>1220</v>
      </c>
      <c r="G608" s="6" t="s">
        <v>228</v>
      </c>
      <c r="H608" s="19">
        <v>30000.0</v>
      </c>
      <c r="I608" s="34" t="s">
        <v>62</v>
      </c>
      <c r="J608" s="22">
        <v>128.0</v>
      </c>
      <c r="K608" s="22">
        <v>110.0</v>
      </c>
      <c r="L608" s="22">
        <v>2094.0</v>
      </c>
      <c r="M608" s="23">
        <v>0.53</v>
      </c>
      <c r="N608" s="24">
        <v>1.59</v>
      </c>
      <c r="O608" s="26" t="s">
        <v>29</v>
      </c>
      <c r="P608" s="26" t="s">
        <v>30</v>
      </c>
      <c r="Q608" s="27">
        <f t="shared" si="256"/>
        <v>16.359375</v>
      </c>
      <c r="R608" s="23">
        <f t="shared" si="257"/>
        <v>0.03</v>
      </c>
      <c r="S608" s="27">
        <f t="shared" si="258"/>
        <v>16.85015625</v>
      </c>
      <c r="T608" s="6" t="s">
        <v>40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6.5" customHeight="1">
      <c r="A609" s="7" t="b">
        <v>0</v>
      </c>
      <c r="B609" s="5" t="s">
        <v>573</v>
      </c>
      <c r="C609" s="5" t="s">
        <v>1164</v>
      </c>
      <c r="D609" s="5" t="s">
        <v>1221</v>
      </c>
      <c r="E609" s="5" t="s">
        <v>231</v>
      </c>
      <c r="F609" s="25" t="s">
        <v>536</v>
      </c>
      <c r="G609" s="5" t="s">
        <v>228</v>
      </c>
      <c r="H609" s="9"/>
      <c r="I609" s="48"/>
      <c r="J609" s="9"/>
      <c r="K609" s="9"/>
      <c r="L609" s="9"/>
      <c r="M609" s="28"/>
      <c r="N609" s="29"/>
      <c r="O609" s="30"/>
      <c r="P609" s="30"/>
      <c r="Q609" s="16"/>
      <c r="R609" s="18"/>
      <c r="S609" s="16"/>
      <c r="T609" s="5" t="s">
        <v>103</v>
      </c>
      <c r="U609" s="21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6.5" customHeight="1">
      <c r="A610" s="7" t="b">
        <v>0</v>
      </c>
      <c r="B610" s="5" t="s">
        <v>367</v>
      </c>
      <c r="C610" s="5" t="s">
        <v>1164</v>
      </c>
      <c r="D610" s="5" t="s">
        <v>1222</v>
      </c>
      <c r="E610" s="5" t="s">
        <v>56</v>
      </c>
      <c r="F610" s="8" t="s">
        <v>622</v>
      </c>
      <c r="G610" s="5" t="s">
        <v>228</v>
      </c>
      <c r="H610" s="9">
        <v>250000.0</v>
      </c>
      <c r="I610" s="20" t="s">
        <v>33</v>
      </c>
      <c r="J610" s="9"/>
      <c r="K610" s="9"/>
      <c r="L610" s="9"/>
      <c r="M610" s="28"/>
      <c r="N610" s="29"/>
      <c r="O610" s="30"/>
      <c r="P610" s="30"/>
      <c r="Q610" s="16"/>
      <c r="R610" s="18"/>
      <c r="S610" s="16"/>
      <c r="T610" s="5" t="s">
        <v>34</v>
      </c>
      <c r="U610" s="21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6.5" customHeight="1">
      <c r="A611" s="7" t="b">
        <v>0</v>
      </c>
      <c r="B611" s="6" t="s">
        <v>66</v>
      </c>
      <c r="C611" s="6" t="s">
        <v>1164</v>
      </c>
      <c r="D611" s="6" t="s">
        <v>1223</v>
      </c>
      <c r="E611" s="6" t="s">
        <v>148</v>
      </c>
      <c r="F611" s="8" t="s">
        <v>1224</v>
      </c>
      <c r="G611" s="6" t="s">
        <v>228</v>
      </c>
      <c r="H611" s="19">
        <v>28000.0</v>
      </c>
      <c r="I611" s="10" t="s">
        <v>27</v>
      </c>
      <c r="J611" s="22">
        <v>206.0</v>
      </c>
      <c r="K611" s="22">
        <v>203.0</v>
      </c>
      <c r="L611" s="22">
        <v>3329.0</v>
      </c>
      <c r="M611" s="23">
        <v>0.53</v>
      </c>
      <c r="N611" s="24">
        <v>1.99</v>
      </c>
      <c r="O611" s="26" t="s">
        <v>29</v>
      </c>
      <c r="P611" s="26" t="s">
        <v>30</v>
      </c>
      <c r="Q611" s="27">
        <f t="shared" ref="Q611:Q614" si="259">L611/J611</f>
        <v>16.16019417</v>
      </c>
      <c r="R611" s="23">
        <f t="shared" ref="R611:R614" si="260">0+((ABS(0.5-M611)*1))</f>
        <v>0.03</v>
      </c>
      <c r="S611" s="27">
        <f t="shared" ref="S611:S614" si="261">Q611*(R611+1)</f>
        <v>16.645</v>
      </c>
      <c r="T611" s="6" t="s">
        <v>40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6.5" customHeight="1">
      <c r="A612" s="7" t="b">
        <v>0</v>
      </c>
      <c r="B612" s="6" t="s">
        <v>903</v>
      </c>
      <c r="C612" s="6" t="s">
        <v>1164</v>
      </c>
      <c r="D612" s="6" t="s">
        <v>1225</v>
      </c>
      <c r="E612" s="6" t="s">
        <v>148</v>
      </c>
      <c r="F612" s="25" t="s">
        <v>1226</v>
      </c>
      <c r="G612" s="6" t="s">
        <v>228</v>
      </c>
      <c r="H612" s="19">
        <v>60000.0</v>
      </c>
      <c r="I612" s="10" t="s">
        <v>27</v>
      </c>
      <c r="J612" s="22">
        <v>320.0</v>
      </c>
      <c r="K612" s="22">
        <v>315.0</v>
      </c>
      <c r="L612" s="22">
        <v>3329.0</v>
      </c>
      <c r="M612" s="23">
        <v>0.53</v>
      </c>
      <c r="N612" s="24">
        <v>3.0</v>
      </c>
      <c r="O612" s="26" t="s">
        <v>29</v>
      </c>
      <c r="P612" s="26" t="s">
        <v>30</v>
      </c>
      <c r="Q612" s="27">
        <f t="shared" si="259"/>
        <v>10.403125</v>
      </c>
      <c r="R612" s="23">
        <f t="shared" si="260"/>
        <v>0.03</v>
      </c>
      <c r="S612" s="27">
        <f t="shared" si="261"/>
        <v>10.71521875</v>
      </c>
      <c r="T612" s="6" t="s">
        <v>137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6.5" customHeight="1">
      <c r="A613" s="7" t="b">
        <v>0</v>
      </c>
      <c r="B613" s="6" t="s">
        <v>123</v>
      </c>
      <c r="C613" s="6" t="s">
        <v>1164</v>
      </c>
      <c r="D613" s="6" t="s">
        <v>1227</v>
      </c>
      <c r="E613" s="6" t="s">
        <v>374</v>
      </c>
      <c r="F613" s="8" t="s">
        <v>1228</v>
      </c>
      <c r="G613" s="6" t="s">
        <v>228</v>
      </c>
      <c r="H613" s="19">
        <v>34000.0</v>
      </c>
      <c r="I613" s="10" t="s">
        <v>27</v>
      </c>
      <c r="J613" s="22">
        <v>278.0</v>
      </c>
      <c r="K613" s="22">
        <v>265.0</v>
      </c>
      <c r="L613" s="22">
        <v>4425.0</v>
      </c>
      <c r="M613" s="23">
        <v>0.56</v>
      </c>
      <c r="N613" s="24">
        <v>3.46</v>
      </c>
      <c r="O613" s="26" t="s">
        <v>71</v>
      </c>
      <c r="P613" s="26" t="s">
        <v>30</v>
      </c>
      <c r="Q613" s="27">
        <f t="shared" si="259"/>
        <v>15.91726619</v>
      </c>
      <c r="R613" s="23">
        <f t="shared" si="260"/>
        <v>0.06</v>
      </c>
      <c r="S613" s="27">
        <f t="shared" si="261"/>
        <v>16.87230216</v>
      </c>
      <c r="T613" s="6" t="s">
        <v>40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6.5" customHeight="1">
      <c r="A614" s="7" t="b">
        <v>0</v>
      </c>
      <c r="B614" s="37" t="s">
        <v>123</v>
      </c>
      <c r="C614" s="37" t="s">
        <v>1164</v>
      </c>
      <c r="D614" s="37" t="s">
        <v>1229</v>
      </c>
      <c r="E614" s="37" t="s">
        <v>126</v>
      </c>
      <c r="F614" s="49" t="s">
        <v>494</v>
      </c>
      <c r="G614" s="37" t="s">
        <v>228</v>
      </c>
      <c r="H614" s="38">
        <v>500000.0</v>
      </c>
      <c r="I614" s="53" t="s">
        <v>430</v>
      </c>
      <c r="J614" s="39">
        <v>1149.0</v>
      </c>
      <c r="K614" s="39">
        <v>1042.0</v>
      </c>
      <c r="L614" s="39">
        <v>2661.0</v>
      </c>
      <c r="M614" s="40">
        <v>0.56</v>
      </c>
      <c r="N614" s="41">
        <v>3.46</v>
      </c>
      <c r="O614" s="42" t="s">
        <v>71</v>
      </c>
      <c r="P614" s="43" t="s">
        <v>77</v>
      </c>
      <c r="Q614" s="44">
        <f t="shared" si="259"/>
        <v>2.315926893</v>
      </c>
      <c r="R614" s="45">
        <f t="shared" si="260"/>
        <v>0.06</v>
      </c>
      <c r="S614" s="44">
        <f t="shared" si="261"/>
        <v>2.454882507</v>
      </c>
      <c r="T614" s="37" t="s">
        <v>88</v>
      </c>
      <c r="U614" s="37" t="s">
        <v>431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6.5" customHeight="1">
      <c r="A615" s="7" t="b">
        <v>0</v>
      </c>
      <c r="B615" s="5" t="s">
        <v>903</v>
      </c>
      <c r="C615" s="5" t="s">
        <v>1230</v>
      </c>
      <c r="D615" s="5" t="s">
        <v>1231</v>
      </c>
      <c r="E615" s="5" t="s">
        <v>253</v>
      </c>
      <c r="F615" s="32" t="s">
        <v>456</v>
      </c>
      <c r="G615" s="5" t="s">
        <v>134</v>
      </c>
      <c r="H615" s="9">
        <v>750000.0</v>
      </c>
      <c r="I615" s="34" t="s">
        <v>62</v>
      </c>
      <c r="J615" s="9"/>
      <c r="K615" s="9"/>
      <c r="L615" s="9"/>
      <c r="M615" s="28"/>
      <c r="N615" s="29"/>
      <c r="O615" s="30"/>
      <c r="P615" s="30"/>
      <c r="Q615" s="16"/>
      <c r="R615" s="18"/>
      <c r="S615" s="16"/>
      <c r="T615" s="5" t="s">
        <v>34</v>
      </c>
      <c r="U615" s="21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6.5" customHeight="1">
      <c r="A616" s="7" t="b">
        <v>0</v>
      </c>
      <c r="B616" s="6" t="s">
        <v>196</v>
      </c>
      <c r="C616" s="6" t="s">
        <v>1230</v>
      </c>
      <c r="D616" s="6" t="s">
        <v>1232</v>
      </c>
      <c r="E616" s="6" t="s">
        <v>24</v>
      </c>
      <c r="F616" s="32" t="s">
        <v>1233</v>
      </c>
      <c r="G616" s="6" t="s">
        <v>134</v>
      </c>
      <c r="H616" s="19">
        <v>250000.0</v>
      </c>
      <c r="I616" s="10" t="s">
        <v>27</v>
      </c>
      <c r="J616" s="22">
        <v>480.0</v>
      </c>
      <c r="K616" s="22">
        <v>430.0</v>
      </c>
      <c r="L616" s="22">
        <v>2645.0</v>
      </c>
      <c r="M616" s="23">
        <v>0.5</v>
      </c>
      <c r="N616" s="24">
        <v>4.95</v>
      </c>
      <c r="O616" s="26" t="s">
        <v>29</v>
      </c>
      <c r="P616" s="26" t="s">
        <v>30</v>
      </c>
      <c r="Q616" s="27">
        <f t="shared" ref="Q616:Q629" si="262">L616/J616</f>
        <v>5.510416667</v>
      </c>
      <c r="R616" s="23">
        <f t="shared" ref="R616:R629" si="263">0+((ABS(0.5-M616)*1))</f>
        <v>0</v>
      </c>
      <c r="S616" s="27">
        <f t="shared" ref="S616:S629" si="264">Q616*(R616+1)</f>
        <v>5.510416667</v>
      </c>
      <c r="T616" s="6" t="s">
        <v>72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6.5" customHeight="1">
      <c r="A617" s="7" t="b">
        <v>0</v>
      </c>
      <c r="B617" s="6" t="s">
        <v>268</v>
      </c>
      <c r="C617" s="6" t="s">
        <v>1230</v>
      </c>
      <c r="D617" s="6" t="s">
        <v>1234</v>
      </c>
      <c r="E617" s="6" t="s">
        <v>148</v>
      </c>
      <c r="F617" s="36" t="s">
        <v>294</v>
      </c>
      <c r="G617" s="6" t="s">
        <v>134</v>
      </c>
      <c r="H617" s="19">
        <v>115000.0</v>
      </c>
      <c r="I617" s="10" t="s">
        <v>27</v>
      </c>
      <c r="J617" s="22">
        <v>406.0</v>
      </c>
      <c r="K617" s="22">
        <v>349.0</v>
      </c>
      <c r="L617" s="22">
        <v>2377.0</v>
      </c>
      <c r="M617" s="23">
        <v>0.53</v>
      </c>
      <c r="N617" s="24">
        <v>4.0</v>
      </c>
      <c r="O617" s="26" t="s">
        <v>29</v>
      </c>
      <c r="P617" s="26" t="s">
        <v>30</v>
      </c>
      <c r="Q617" s="27">
        <f t="shared" si="262"/>
        <v>5.854679803</v>
      </c>
      <c r="R617" s="23">
        <f t="shared" si="263"/>
        <v>0.03</v>
      </c>
      <c r="S617" s="27">
        <f t="shared" si="264"/>
        <v>6.030320197</v>
      </c>
      <c r="T617" s="6" t="s">
        <v>40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6.5" customHeight="1">
      <c r="A618" s="7" t="b">
        <v>0</v>
      </c>
      <c r="B618" s="6" t="s">
        <v>116</v>
      </c>
      <c r="C618" s="6" t="s">
        <v>1235</v>
      </c>
      <c r="D618" s="6" t="s">
        <v>1236</v>
      </c>
      <c r="E618" s="6" t="s">
        <v>126</v>
      </c>
      <c r="F618" s="49" t="s">
        <v>1237</v>
      </c>
      <c r="G618" s="6" t="s">
        <v>134</v>
      </c>
      <c r="H618" s="19">
        <v>150000.0</v>
      </c>
      <c r="I618" s="34" t="s">
        <v>62</v>
      </c>
      <c r="J618" s="22">
        <v>1020.0</v>
      </c>
      <c r="K618" s="22">
        <v>920.0</v>
      </c>
      <c r="L618" s="22">
        <v>2094.0</v>
      </c>
      <c r="M618" s="23">
        <v>0.38</v>
      </c>
      <c r="N618" s="24">
        <v>6.8</v>
      </c>
      <c r="O618" s="26" t="s">
        <v>29</v>
      </c>
      <c r="P618" s="26" t="s">
        <v>77</v>
      </c>
      <c r="Q618" s="27">
        <f t="shared" si="262"/>
        <v>2.052941176</v>
      </c>
      <c r="R618" s="23">
        <f t="shared" si="263"/>
        <v>0.12</v>
      </c>
      <c r="S618" s="27">
        <f t="shared" si="264"/>
        <v>2.299294118</v>
      </c>
      <c r="T618" s="6" t="s">
        <v>40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6.5" customHeight="1">
      <c r="A619" s="7" t="b">
        <v>0</v>
      </c>
      <c r="B619" s="6" t="s">
        <v>21</v>
      </c>
      <c r="C619" s="6" t="s">
        <v>1238</v>
      </c>
      <c r="D619" s="6" t="s">
        <v>1239</v>
      </c>
      <c r="E619" s="6" t="s">
        <v>171</v>
      </c>
      <c r="F619" s="32" t="s">
        <v>886</v>
      </c>
      <c r="G619" s="6" t="s">
        <v>128</v>
      </c>
      <c r="H619" s="19">
        <v>150000.0</v>
      </c>
      <c r="I619" s="34" t="s">
        <v>62</v>
      </c>
      <c r="J619" s="22">
        <v>552.0</v>
      </c>
      <c r="K619" s="22">
        <v>464.0</v>
      </c>
      <c r="L619" s="22">
        <v>2668.0</v>
      </c>
      <c r="M619" s="23">
        <v>0.55</v>
      </c>
      <c r="N619" s="24">
        <v>2.0</v>
      </c>
      <c r="O619" s="26" t="s">
        <v>71</v>
      </c>
      <c r="P619" s="26" t="s">
        <v>30</v>
      </c>
      <c r="Q619" s="27">
        <f t="shared" si="262"/>
        <v>4.833333333</v>
      </c>
      <c r="R619" s="23">
        <f t="shared" si="263"/>
        <v>0.05</v>
      </c>
      <c r="S619" s="27">
        <f t="shared" si="264"/>
        <v>5.075</v>
      </c>
      <c r="T619" s="6" t="s">
        <v>40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6.5" customHeight="1">
      <c r="A620" s="7" t="b">
        <v>0</v>
      </c>
      <c r="B620" s="6" t="s">
        <v>1240</v>
      </c>
      <c r="C620" s="6" t="s">
        <v>1238</v>
      </c>
      <c r="D620" s="6" t="s">
        <v>1241</v>
      </c>
      <c r="E620" s="6" t="s">
        <v>38</v>
      </c>
      <c r="F620" s="17" t="s">
        <v>32</v>
      </c>
      <c r="G620" s="6" t="s">
        <v>128</v>
      </c>
      <c r="H620" s="19">
        <v>17000.0</v>
      </c>
      <c r="I620" s="35" t="s">
        <v>76</v>
      </c>
      <c r="J620" s="22">
        <v>40.0</v>
      </c>
      <c r="K620" s="22">
        <v>65.0</v>
      </c>
      <c r="L620" s="22">
        <v>1760.0</v>
      </c>
      <c r="M620" s="23">
        <v>0.42</v>
      </c>
      <c r="N620" s="24">
        <v>1.19</v>
      </c>
      <c r="O620" s="26" t="s">
        <v>29</v>
      </c>
      <c r="P620" s="26" t="s">
        <v>29</v>
      </c>
      <c r="Q620" s="27">
        <f t="shared" si="262"/>
        <v>44</v>
      </c>
      <c r="R620" s="23">
        <f t="shared" si="263"/>
        <v>0.08</v>
      </c>
      <c r="S620" s="27">
        <f t="shared" si="264"/>
        <v>47.52</v>
      </c>
      <c r="T620" s="6" t="s">
        <v>40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6.5" customHeight="1">
      <c r="A621" s="7" t="b">
        <v>0</v>
      </c>
      <c r="B621" s="6" t="s">
        <v>329</v>
      </c>
      <c r="C621" s="6" t="s">
        <v>1238</v>
      </c>
      <c r="D621" s="6" t="s">
        <v>1242</v>
      </c>
      <c r="E621" s="6" t="s">
        <v>917</v>
      </c>
      <c r="F621" s="17" t="s">
        <v>1243</v>
      </c>
      <c r="G621" s="6" t="s">
        <v>128</v>
      </c>
      <c r="H621" s="19">
        <v>35000.0</v>
      </c>
      <c r="I621" s="10" t="s">
        <v>27</v>
      </c>
      <c r="J621" s="22">
        <v>80.0</v>
      </c>
      <c r="K621" s="22">
        <v>106.0</v>
      </c>
      <c r="L621" s="22">
        <v>2400.0</v>
      </c>
      <c r="M621" s="23">
        <v>0.42</v>
      </c>
      <c r="N621" s="24">
        <v>1.58</v>
      </c>
      <c r="O621" s="26" t="s">
        <v>29</v>
      </c>
      <c r="P621" s="26" t="s">
        <v>29</v>
      </c>
      <c r="Q621" s="27">
        <f t="shared" si="262"/>
        <v>30</v>
      </c>
      <c r="R621" s="23">
        <f t="shared" si="263"/>
        <v>0.08</v>
      </c>
      <c r="S621" s="27">
        <f t="shared" si="264"/>
        <v>32.4</v>
      </c>
      <c r="T621" s="6" t="s">
        <v>40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6.5" customHeight="1">
      <c r="A622" s="7" t="b">
        <v>0</v>
      </c>
      <c r="B622" s="6" t="s">
        <v>242</v>
      </c>
      <c r="C622" s="6" t="s">
        <v>1238</v>
      </c>
      <c r="D622" s="6" t="s">
        <v>1244</v>
      </c>
      <c r="E622" s="6" t="s">
        <v>56</v>
      </c>
      <c r="F622" s="8" t="s">
        <v>1245</v>
      </c>
      <c r="G622" s="6" t="s">
        <v>128</v>
      </c>
      <c r="H622" s="19">
        <v>30000.0</v>
      </c>
      <c r="I622" s="20" t="s">
        <v>33</v>
      </c>
      <c r="J622" s="22">
        <v>178.0</v>
      </c>
      <c r="K622" s="22">
        <v>177.0</v>
      </c>
      <c r="L622" s="22">
        <v>2734.0</v>
      </c>
      <c r="M622" s="23">
        <v>0.58</v>
      </c>
      <c r="N622" s="24">
        <v>2.79</v>
      </c>
      <c r="O622" s="26" t="s">
        <v>30</v>
      </c>
      <c r="P622" s="26" t="s">
        <v>30</v>
      </c>
      <c r="Q622" s="27">
        <f t="shared" si="262"/>
        <v>15.35955056</v>
      </c>
      <c r="R622" s="23">
        <f t="shared" si="263"/>
        <v>0.08</v>
      </c>
      <c r="S622" s="27">
        <f t="shared" si="264"/>
        <v>16.58831461</v>
      </c>
      <c r="T622" s="6" t="s">
        <v>40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6.5" customHeight="1">
      <c r="A623" s="7" t="b">
        <v>0</v>
      </c>
      <c r="B623" s="6" t="s">
        <v>956</v>
      </c>
      <c r="C623" s="6" t="s">
        <v>1238</v>
      </c>
      <c r="D623" s="6" t="s">
        <v>1246</v>
      </c>
      <c r="E623" s="6" t="s">
        <v>56</v>
      </c>
      <c r="F623" s="17" t="s">
        <v>1247</v>
      </c>
      <c r="G623" s="6" t="s">
        <v>128</v>
      </c>
      <c r="H623" s="19">
        <v>18000.0</v>
      </c>
      <c r="I623" s="20" t="s">
        <v>33</v>
      </c>
      <c r="J623" s="22">
        <v>112.0</v>
      </c>
      <c r="K623" s="22">
        <v>109.0</v>
      </c>
      <c r="L623" s="22">
        <v>1909.0</v>
      </c>
      <c r="M623" s="23">
        <v>0.63</v>
      </c>
      <c r="N623" s="24">
        <v>1.78</v>
      </c>
      <c r="O623" s="26" t="s">
        <v>30</v>
      </c>
      <c r="P623" s="26" t="s">
        <v>30</v>
      </c>
      <c r="Q623" s="27">
        <f t="shared" si="262"/>
        <v>17.04464286</v>
      </c>
      <c r="R623" s="23">
        <f t="shared" si="263"/>
        <v>0.13</v>
      </c>
      <c r="S623" s="27">
        <f t="shared" si="264"/>
        <v>19.26044643</v>
      </c>
      <c r="T623" s="6" t="s">
        <v>40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6.5" customHeight="1">
      <c r="A624" s="7" t="b">
        <v>0</v>
      </c>
      <c r="B624" s="6" t="s">
        <v>66</v>
      </c>
      <c r="C624" s="6" t="s">
        <v>1238</v>
      </c>
      <c r="D624" s="6" t="s">
        <v>1248</v>
      </c>
      <c r="E624" s="6" t="s">
        <v>56</v>
      </c>
      <c r="F624" s="17" t="s">
        <v>1249</v>
      </c>
      <c r="G624" s="6" t="s">
        <v>128</v>
      </c>
      <c r="H624" s="19">
        <v>22000.0</v>
      </c>
      <c r="I624" s="20" t="s">
        <v>33</v>
      </c>
      <c r="J624" s="22">
        <v>139.0</v>
      </c>
      <c r="K624" s="22">
        <v>120.0</v>
      </c>
      <c r="L624" s="22">
        <v>2425.0</v>
      </c>
      <c r="M624" s="23">
        <v>0.63</v>
      </c>
      <c r="N624" s="24">
        <v>1.78</v>
      </c>
      <c r="O624" s="26" t="s">
        <v>30</v>
      </c>
      <c r="P624" s="26" t="s">
        <v>30</v>
      </c>
      <c r="Q624" s="27">
        <f t="shared" si="262"/>
        <v>17.44604317</v>
      </c>
      <c r="R624" s="23">
        <f t="shared" si="263"/>
        <v>0.13</v>
      </c>
      <c r="S624" s="27">
        <f t="shared" si="264"/>
        <v>19.71402878</v>
      </c>
      <c r="T624" s="6" t="s">
        <v>40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6.5" customHeight="1">
      <c r="A625" s="7" t="b">
        <v>0</v>
      </c>
      <c r="B625" s="6" t="s">
        <v>217</v>
      </c>
      <c r="C625" s="6" t="s">
        <v>1238</v>
      </c>
      <c r="D625" s="6" t="s">
        <v>1250</v>
      </c>
      <c r="E625" s="6" t="s">
        <v>189</v>
      </c>
      <c r="F625" s="25" t="s">
        <v>216</v>
      </c>
      <c r="G625" s="6" t="s">
        <v>128</v>
      </c>
      <c r="H625" s="19">
        <v>20000.0</v>
      </c>
      <c r="I625" s="10" t="s">
        <v>27</v>
      </c>
      <c r="J625" s="22">
        <v>267.0</v>
      </c>
      <c r="K625" s="22">
        <v>254.0</v>
      </c>
      <c r="L625" s="22">
        <v>3188.0</v>
      </c>
      <c r="M625" s="23">
        <v>0.54</v>
      </c>
      <c r="N625" s="24">
        <v>1.98</v>
      </c>
      <c r="O625" s="26" t="s">
        <v>71</v>
      </c>
      <c r="P625" s="26" t="s">
        <v>30</v>
      </c>
      <c r="Q625" s="27">
        <f t="shared" si="262"/>
        <v>11.94007491</v>
      </c>
      <c r="R625" s="23">
        <f t="shared" si="263"/>
        <v>0.04</v>
      </c>
      <c r="S625" s="27">
        <f t="shared" si="264"/>
        <v>12.4176779</v>
      </c>
      <c r="T625" s="6" t="s">
        <v>40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6.5" customHeight="1">
      <c r="A626" s="7" t="b">
        <v>0</v>
      </c>
      <c r="B626" s="6" t="s">
        <v>79</v>
      </c>
      <c r="C626" s="6" t="s">
        <v>1238</v>
      </c>
      <c r="D626" s="6" t="s">
        <v>1250</v>
      </c>
      <c r="E626" s="6" t="s">
        <v>189</v>
      </c>
      <c r="F626" s="25" t="s">
        <v>534</v>
      </c>
      <c r="G626" s="6" t="s">
        <v>128</v>
      </c>
      <c r="H626" s="19">
        <v>27000.0</v>
      </c>
      <c r="I626" s="20" t="s">
        <v>33</v>
      </c>
      <c r="J626" s="22">
        <v>296.0</v>
      </c>
      <c r="K626" s="22">
        <v>280.0</v>
      </c>
      <c r="L626" s="22">
        <v>3254.0</v>
      </c>
      <c r="M626" s="23">
        <v>0.61</v>
      </c>
      <c r="N626" s="24">
        <v>1.98</v>
      </c>
      <c r="O626" s="26" t="s">
        <v>71</v>
      </c>
      <c r="P626" s="26" t="s">
        <v>30</v>
      </c>
      <c r="Q626" s="27">
        <f t="shared" si="262"/>
        <v>10.99324324</v>
      </c>
      <c r="R626" s="23">
        <f t="shared" si="263"/>
        <v>0.11</v>
      </c>
      <c r="S626" s="27">
        <f t="shared" si="264"/>
        <v>12.2025</v>
      </c>
      <c r="T626" s="6" t="s">
        <v>40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6.5" customHeight="1">
      <c r="A627" s="7" t="b">
        <v>0</v>
      </c>
      <c r="B627" s="6" t="s">
        <v>90</v>
      </c>
      <c r="C627" s="6" t="s">
        <v>1238</v>
      </c>
      <c r="D627" s="6" t="s">
        <v>1250</v>
      </c>
      <c r="E627" s="6" t="s">
        <v>189</v>
      </c>
      <c r="F627" s="25" t="s">
        <v>291</v>
      </c>
      <c r="G627" s="6" t="s">
        <v>128</v>
      </c>
      <c r="H627" s="19">
        <v>29000.0</v>
      </c>
      <c r="I627" s="20" t="s">
        <v>33</v>
      </c>
      <c r="J627" s="22">
        <v>288.0</v>
      </c>
      <c r="K627" s="22">
        <v>280.0</v>
      </c>
      <c r="L627" s="22">
        <v>3300.0</v>
      </c>
      <c r="M627" s="23">
        <v>0.59</v>
      </c>
      <c r="N627" s="24">
        <v>1.98</v>
      </c>
      <c r="O627" s="26" t="s">
        <v>71</v>
      </c>
      <c r="P627" s="26" t="s">
        <v>30</v>
      </c>
      <c r="Q627" s="27">
        <f t="shared" si="262"/>
        <v>11.45833333</v>
      </c>
      <c r="R627" s="23">
        <f t="shared" si="263"/>
        <v>0.09</v>
      </c>
      <c r="S627" s="27">
        <f t="shared" si="264"/>
        <v>12.48958333</v>
      </c>
      <c r="T627" s="6" t="s">
        <v>40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6.5" customHeight="1">
      <c r="A628" s="7" t="b">
        <v>0</v>
      </c>
      <c r="B628" s="6" t="s">
        <v>58</v>
      </c>
      <c r="C628" s="6" t="s">
        <v>1238</v>
      </c>
      <c r="D628" s="6" t="s">
        <v>1250</v>
      </c>
      <c r="E628" s="6" t="s">
        <v>189</v>
      </c>
      <c r="F628" s="25" t="s">
        <v>397</v>
      </c>
      <c r="G628" s="6" t="s">
        <v>128</v>
      </c>
      <c r="H628" s="19">
        <v>35000.0</v>
      </c>
      <c r="I628" s="10" t="s">
        <v>27</v>
      </c>
      <c r="J628" s="22">
        <v>315.0</v>
      </c>
      <c r="K628" s="22">
        <v>280.0</v>
      </c>
      <c r="L628" s="22">
        <v>3417.0</v>
      </c>
      <c r="M628" s="23">
        <v>0.59</v>
      </c>
      <c r="N628" s="24">
        <v>1.98</v>
      </c>
      <c r="O628" s="26" t="s">
        <v>71</v>
      </c>
      <c r="P628" s="26" t="s">
        <v>30</v>
      </c>
      <c r="Q628" s="27">
        <f t="shared" si="262"/>
        <v>10.84761905</v>
      </c>
      <c r="R628" s="23">
        <f t="shared" si="263"/>
        <v>0.09</v>
      </c>
      <c r="S628" s="27">
        <f t="shared" si="264"/>
        <v>11.82390476</v>
      </c>
      <c r="T628" s="6" t="s">
        <v>40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6.5" customHeight="1">
      <c r="A629" s="7" t="b">
        <v>0</v>
      </c>
      <c r="B629" s="6" t="s">
        <v>402</v>
      </c>
      <c r="C629" s="6" t="s">
        <v>1238</v>
      </c>
      <c r="D629" s="6" t="s">
        <v>1251</v>
      </c>
      <c r="E629" s="6" t="s">
        <v>366</v>
      </c>
      <c r="F629" s="17" t="s">
        <v>32</v>
      </c>
      <c r="G629" s="6" t="s">
        <v>128</v>
      </c>
      <c r="H629" s="19">
        <v>16000.0</v>
      </c>
      <c r="I629" s="34" t="s">
        <v>62</v>
      </c>
      <c r="J629" s="22">
        <v>52.0</v>
      </c>
      <c r="K629" s="22">
        <v>72.0</v>
      </c>
      <c r="L629" s="22">
        <v>2174.0</v>
      </c>
      <c r="M629" s="23">
        <v>0.65</v>
      </c>
      <c r="N629" s="24">
        <v>1.59</v>
      </c>
      <c r="O629" s="26" t="s">
        <v>30</v>
      </c>
      <c r="P629" s="26" t="s">
        <v>30</v>
      </c>
      <c r="Q629" s="27">
        <f t="shared" si="262"/>
        <v>41.80769231</v>
      </c>
      <c r="R629" s="23">
        <f t="shared" si="263"/>
        <v>0.15</v>
      </c>
      <c r="S629" s="27">
        <f t="shared" si="264"/>
        <v>48.07884615</v>
      </c>
      <c r="T629" s="6" t="s">
        <v>40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6.5" customHeight="1">
      <c r="A630" s="7" t="b">
        <v>0</v>
      </c>
      <c r="B630" s="5" t="s">
        <v>477</v>
      </c>
      <c r="C630" s="5" t="s">
        <v>1238</v>
      </c>
      <c r="D630" s="5" t="s">
        <v>1252</v>
      </c>
      <c r="E630" s="5" t="s">
        <v>215</v>
      </c>
      <c r="F630" s="8" t="s">
        <v>1253</v>
      </c>
      <c r="G630" s="5" t="s">
        <v>128</v>
      </c>
      <c r="H630" s="9"/>
      <c r="I630" s="48"/>
      <c r="J630" s="9"/>
      <c r="K630" s="9"/>
      <c r="L630" s="9"/>
      <c r="M630" s="28"/>
      <c r="N630" s="29"/>
      <c r="O630" s="30"/>
      <c r="P630" s="30"/>
      <c r="Q630" s="16"/>
      <c r="R630" s="18"/>
      <c r="S630" s="16"/>
      <c r="T630" s="5" t="s">
        <v>34</v>
      </c>
      <c r="U630" s="21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6.5" customHeight="1">
      <c r="A631" s="7" t="b">
        <v>0</v>
      </c>
      <c r="B631" s="6" t="s">
        <v>187</v>
      </c>
      <c r="C631" s="6" t="s">
        <v>1238</v>
      </c>
      <c r="D631" s="6" t="s">
        <v>1254</v>
      </c>
      <c r="E631" s="6" t="s">
        <v>43</v>
      </c>
      <c r="F631" s="25" t="s">
        <v>397</v>
      </c>
      <c r="G631" s="6" t="s">
        <v>128</v>
      </c>
      <c r="H631" s="19">
        <v>15000.0</v>
      </c>
      <c r="I631" s="10" t="s">
        <v>27</v>
      </c>
      <c r="J631" s="22">
        <v>261.0</v>
      </c>
      <c r="K631" s="22">
        <v>258.0</v>
      </c>
      <c r="L631" s="22">
        <v>2963.0</v>
      </c>
      <c r="M631" s="23">
        <v>0.65</v>
      </c>
      <c r="N631" s="24">
        <v>1.98</v>
      </c>
      <c r="O631" s="26" t="s">
        <v>30</v>
      </c>
      <c r="P631" s="26" t="s">
        <v>30</v>
      </c>
      <c r="Q631" s="27">
        <f t="shared" ref="Q631:Q635" si="265">L631/J631</f>
        <v>11.35249042</v>
      </c>
      <c r="R631" s="23">
        <f t="shared" ref="R631:R635" si="266">0+((ABS(0.5-M631)*1))</f>
        <v>0.15</v>
      </c>
      <c r="S631" s="27">
        <f t="shared" ref="S631:S635" si="267">Q631*(R631+1)</f>
        <v>13.05536398</v>
      </c>
      <c r="T631" s="6" t="s">
        <v>40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6.5" customHeight="1">
      <c r="A632" s="7" t="b">
        <v>0</v>
      </c>
      <c r="B632" s="6" t="s">
        <v>1240</v>
      </c>
      <c r="C632" s="6" t="s">
        <v>1238</v>
      </c>
      <c r="D632" s="6" t="s">
        <v>1255</v>
      </c>
      <c r="E632" s="6" t="s">
        <v>38</v>
      </c>
      <c r="F632" s="17" t="s">
        <v>32</v>
      </c>
      <c r="G632" s="6" t="s">
        <v>128</v>
      </c>
      <c r="H632" s="19">
        <v>178000.0</v>
      </c>
      <c r="I632" s="10" t="s">
        <v>27</v>
      </c>
      <c r="J632" s="22">
        <v>50.0</v>
      </c>
      <c r="K632" s="22">
        <v>82.0</v>
      </c>
      <c r="L632" s="22">
        <v>2513.0</v>
      </c>
      <c r="M632" s="23">
        <v>0.48</v>
      </c>
      <c r="N632" s="24">
        <v>1.49</v>
      </c>
      <c r="O632" s="26" t="s">
        <v>29</v>
      </c>
      <c r="P632" s="26" t="s">
        <v>29</v>
      </c>
      <c r="Q632" s="27">
        <f t="shared" si="265"/>
        <v>50.26</v>
      </c>
      <c r="R632" s="23">
        <f t="shared" si="266"/>
        <v>0.02</v>
      </c>
      <c r="S632" s="27">
        <f t="shared" si="267"/>
        <v>51.2652</v>
      </c>
      <c r="T632" s="6" t="s">
        <v>122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6.5" customHeight="1">
      <c r="A633" s="7" t="b">
        <v>0</v>
      </c>
      <c r="B633" s="6" t="s">
        <v>956</v>
      </c>
      <c r="C633" s="6" t="s">
        <v>1256</v>
      </c>
      <c r="D633" s="6" t="s">
        <v>1257</v>
      </c>
      <c r="E633" s="6" t="s">
        <v>46</v>
      </c>
      <c r="F633" s="8" t="s">
        <v>622</v>
      </c>
      <c r="G633" s="6" t="s">
        <v>729</v>
      </c>
      <c r="H633" s="19">
        <v>30000.0</v>
      </c>
      <c r="I633" s="20" t="s">
        <v>33</v>
      </c>
      <c r="J633" s="22">
        <v>225.0</v>
      </c>
      <c r="K633" s="22">
        <v>250.0</v>
      </c>
      <c r="L633" s="22">
        <v>3175.0</v>
      </c>
      <c r="M633" s="23">
        <v>0.54</v>
      </c>
      <c r="N633" s="24">
        <v>2.14</v>
      </c>
      <c r="O633" s="26" t="s">
        <v>29</v>
      </c>
      <c r="P633" s="26" t="s">
        <v>30</v>
      </c>
      <c r="Q633" s="27">
        <f t="shared" si="265"/>
        <v>14.11111111</v>
      </c>
      <c r="R633" s="23">
        <f t="shared" si="266"/>
        <v>0.04</v>
      </c>
      <c r="S633" s="27">
        <f t="shared" si="267"/>
        <v>14.67555556</v>
      </c>
      <c r="T633" s="6" t="s">
        <v>40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6.5" customHeight="1">
      <c r="A634" s="7" t="b">
        <v>0</v>
      </c>
      <c r="B634" s="6" t="s">
        <v>58</v>
      </c>
      <c r="C634" s="6" t="s">
        <v>1258</v>
      </c>
      <c r="D634" s="6" t="s">
        <v>1259</v>
      </c>
      <c r="E634" s="6" t="s">
        <v>43</v>
      </c>
      <c r="F634" s="17" t="s">
        <v>32</v>
      </c>
      <c r="G634" s="6" t="s">
        <v>1260</v>
      </c>
      <c r="H634" s="19">
        <v>5000.0</v>
      </c>
      <c r="I634" s="10" t="s">
        <v>27</v>
      </c>
      <c r="J634" s="22">
        <v>27.0</v>
      </c>
      <c r="K634" s="22">
        <v>63.0</v>
      </c>
      <c r="L634" s="22">
        <v>1543.0</v>
      </c>
      <c r="M634" s="23">
        <v>0.49</v>
      </c>
      <c r="N634" s="24" t="s">
        <v>211</v>
      </c>
      <c r="O634" s="26" t="s">
        <v>29</v>
      </c>
      <c r="P634" s="26" t="s">
        <v>29</v>
      </c>
      <c r="Q634" s="27">
        <f t="shared" si="265"/>
        <v>57.14814815</v>
      </c>
      <c r="R634" s="23">
        <f t="shared" si="266"/>
        <v>0.01</v>
      </c>
      <c r="S634" s="27">
        <f t="shared" si="267"/>
        <v>57.71962963</v>
      </c>
      <c r="T634" s="6" t="s">
        <v>40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6.5" customHeight="1">
      <c r="A635" s="7" t="b">
        <v>0</v>
      </c>
      <c r="B635" s="6" t="s">
        <v>130</v>
      </c>
      <c r="C635" s="6" t="s">
        <v>1258</v>
      </c>
      <c r="D635" s="6" t="s">
        <v>1261</v>
      </c>
      <c r="E635" s="6" t="s">
        <v>366</v>
      </c>
      <c r="F635" s="17" t="s">
        <v>1262</v>
      </c>
      <c r="G635" s="6" t="s">
        <v>1260</v>
      </c>
      <c r="H635" s="19">
        <v>2000.0</v>
      </c>
      <c r="I635" s="10" t="s">
        <v>27</v>
      </c>
      <c r="J635" s="22">
        <v>84.0</v>
      </c>
      <c r="K635" s="22">
        <v>80.0</v>
      </c>
      <c r="L635" s="22">
        <v>2789.0</v>
      </c>
      <c r="M635" s="23">
        <v>0.6</v>
      </c>
      <c r="N635" s="24">
        <v>1.21</v>
      </c>
      <c r="O635" s="26" t="s">
        <v>29</v>
      </c>
      <c r="P635" s="26" t="s">
        <v>30</v>
      </c>
      <c r="Q635" s="27">
        <f t="shared" si="265"/>
        <v>33.20238095</v>
      </c>
      <c r="R635" s="23">
        <f t="shared" si="266"/>
        <v>0.1</v>
      </c>
      <c r="S635" s="27">
        <f t="shared" si="267"/>
        <v>36.52261905</v>
      </c>
      <c r="T635" s="6" t="s">
        <v>40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6.5" customHeight="1">
      <c r="A636" s="7" t="b">
        <v>0</v>
      </c>
      <c r="B636" s="5" t="s">
        <v>130</v>
      </c>
      <c r="C636" s="5" t="s">
        <v>1258</v>
      </c>
      <c r="D636" s="5" t="s">
        <v>1263</v>
      </c>
      <c r="E636" s="5" t="s">
        <v>231</v>
      </c>
      <c r="F636" s="32" t="s">
        <v>277</v>
      </c>
      <c r="G636" s="5" t="s">
        <v>1260</v>
      </c>
      <c r="H636" s="9"/>
      <c r="I636" s="48"/>
      <c r="J636" s="9"/>
      <c r="K636" s="9"/>
      <c r="L636" s="9"/>
      <c r="M636" s="28"/>
      <c r="N636" s="29"/>
      <c r="O636" s="30"/>
      <c r="P636" s="30"/>
      <c r="Q636" s="59"/>
      <c r="R636" s="16"/>
      <c r="S636" s="16"/>
      <c r="T636" s="5" t="s">
        <v>129</v>
      </c>
      <c r="U636" s="21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6.5" customHeight="1">
      <c r="A637" s="7" t="b">
        <v>0</v>
      </c>
      <c r="B637" s="6" t="s">
        <v>123</v>
      </c>
      <c r="C637" s="6" t="s">
        <v>1264</v>
      </c>
      <c r="D637" s="6" t="s">
        <v>1265</v>
      </c>
      <c r="E637" s="6" t="s">
        <v>156</v>
      </c>
      <c r="F637" s="49" t="s">
        <v>1266</v>
      </c>
      <c r="G637" s="6" t="s">
        <v>1267</v>
      </c>
      <c r="H637" s="19">
        <v>1200000.0</v>
      </c>
      <c r="I637" s="35" t="s">
        <v>76</v>
      </c>
      <c r="J637" s="22">
        <v>1177.0</v>
      </c>
      <c r="K637" s="22">
        <v>811.0</v>
      </c>
      <c r="L637" s="22">
        <v>3410.0</v>
      </c>
      <c r="M637" s="23">
        <v>0.44</v>
      </c>
      <c r="N637" s="24">
        <v>5.8</v>
      </c>
      <c r="O637" s="26" t="s">
        <v>29</v>
      </c>
      <c r="P637" s="26" t="s">
        <v>77</v>
      </c>
      <c r="Q637" s="27">
        <f>L637/J637</f>
        <v>2.897196262</v>
      </c>
      <c r="R637" s="23">
        <f>0+((ABS(0.5-M637)*1))</f>
        <v>0.06</v>
      </c>
      <c r="S637" s="27">
        <f>Q637*(R637+1)</f>
        <v>3.071028037</v>
      </c>
      <c r="T637" s="6" t="s">
        <v>40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B638" s="2"/>
      <c r="C638" s="2"/>
      <c r="D638" s="2"/>
      <c r="E638" s="2"/>
      <c r="F638" s="2"/>
      <c r="G638" s="2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B639" s="2"/>
      <c r="C639" s="2"/>
      <c r="D639" s="2"/>
      <c r="E639" s="2"/>
      <c r="F639" s="2"/>
      <c r="G639" s="2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B640" s="2"/>
      <c r="C640" s="2"/>
      <c r="D640" s="2"/>
      <c r="E640" s="2"/>
      <c r="F640" s="2"/>
      <c r="G640" s="2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B641" s="2"/>
      <c r="C641" s="2"/>
      <c r="D641" s="2"/>
      <c r="E641" s="2"/>
      <c r="F641" s="2"/>
      <c r="G641" s="2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B642" s="2"/>
      <c r="C642" s="2"/>
      <c r="D642" s="2"/>
      <c r="E642" s="2"/>
      <c r="F642" s="2"/>
      <c r="G642" s="2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B643" s="2"/>
      <c r="C643" s="2"/>
      <c r="D643" s="2"/>
      <c r="E643" s="2"/>
      <c r="F643" s="2"/>
      <c r="G643" s="2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B644" s="2"/>
      <c r="C644" s="2"/>
      <c r="D644" s="2"/>
      <c r="E644" s="2"/>
      <c r="F644" s="2"/>
      <c r="G644" s="2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B645" s="2"/>
      <c r="C645" s="2"/>
      <c r="D645" s="2"/>
      <c r="E645" s="2"/>
      <c r="F645" s="2"/>
      <c r="G645" s="2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B646" s="2"/>
      <c r="C646" s="2"/>
      <c r="D646" s="2"/>
      <c r="E646" s="2"/>
      <c r="F646" s="2"/>
      <c r="G646" s="2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B647" s="2"/>
      <c r="C647" s="2"/>
      <c r="D647" s="2"/>
      <c r="E647" s="2"/>
      <c r="F647" s="2"/>
      <c r="G647" s="2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B648" s="2"/>
      <c r="C648" s="2"/>
      <c r="D648" s="2"/>
      <c r="E648" s="2"/>
      <c r="F648" s="2"/>
      <c r="G648" s="2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B649" s="2"/>
      <c r="C649" s="2"/>
      <c r="D649" s="2"/>
      <c r="E649" s="2"/>
      <c r="F649" s="2"/>
      <c r="G649" s="2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B650" s="2"/>
      <c r="C650" s="2"/>
      <c r="D650" s="2"/>
      <c r="E650" s="2"/>
      <c r="F650" s="2"/>
      <c r="G650" s="2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B651" s="2"/>
      <c r="C651" s="2"/>
      <c r="D651" s="2"/>
      <c r="E651" s="2"/>
      <c r="F651" s="2"/>
      <c r="G651" s="2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B652" s="2"/>
      <c r="C652" s="2"/>
      <c r="D652" s="2"/>
      <c r="E652" s="2"/>
      <c r="F652" s="2"/>
      <c r="G652" s="2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B653" s="2"/>
      <c r="C653" s="2"/>
      <c r="D653" s="2"/>
      <c r="E653" s="2"/>
      <c r="F653" s="2"/>
      <c r="G653" s="2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B654" s="2"/>
      <c r="C654" s="2"/>
      <c r="D654" s="2"/>
      <c r="E654" s="2"/>
      <c r="F654" s="2"/>
      <c r="G654" s="2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B655" s="2"/>
      <c r="C655" s="2"/>
      <c r="D655" s="2"/>
      <c r="E655" s="2"/>
      <c r="F655" s="2"/>
      <c r="G655" s="2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B656" s="2"/>
      <c r="C656" s="2"/>
      <c r="D656" s="2"/>
      <c r="E656" s="2"/>
      <c r="F656" s="2"/>
      <c r="G656" s="2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B657" s="2"/>
      <c r="C657" s="2"/>
      <c r="D657" s="2"/>
      <c r="E657" s="2"/>
      <c r="F657" s="2"/>
      <c r="G657" s="2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B658" s="2"/>
      <c r="C658" s="2"/>
      <c r="D658" s="2"/>
      <c r="E658" s="2"/>
      <c r="F658" s="2"/>
      <c r="G658" s="2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B659" s="2"/>
      <c r="C659" s="2"/>
      <c r="D659" s="2"/>
      <c r="E659" s="2"/>
      <c r="F659" s="2"/>
      <c r="G659" s="2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B660" s="2"/>
      <c r="C660" s="2"/>
      <c r="D660" s="2"/>
      <c r="E660" s="2"/>
      <c r="F660" s="2"/>
      <c r="G660" s="2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B661" s="2"/>
      <c r="C661" s="2"/>
      <c r="D661" s="2"/>
      <c r="E661" s="2"/>
      <c r="F661" s="2"/>
      <c r="G661" s="2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B662" s="2"/>
      <c r="C662" s="2"/>
      <c r="D662" s="2"/>
      <c r="E662" s="2"/>
      <c r="F662" s="2"/>
      <c r="G662" s="2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B663" s="2"/>
      <c r="C663" s="2"/>
      <c r="D663" s="2"/>
      <c r="E663" s="2"/>
      <c r="F663" s="2"/>
      <c r="G663" s="2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B664" s="2"/>
      <c r="C664" s="2"/>
      <c r="D664" s="2"/>
      <c r="E664" s="2"/>
      <c r="F664" s="2"/>
      <c r="G664" s="2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B665" s="2"/>
      <c r="C665" s="2"/>
      <c r="D665" s="2"/>
      <c r="E665" s="2"/>
      <c r="F665" s="2"/>
      <c r="G665" s="2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B666" s="2"/>
      <c r="C666" s="2"/>
      <c r="D666" s="2"/>
      <c r="E666" s="2"/>
      <c r="F666" s="2"/>
      <c r="G666" s="2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B667" s="2"/>
      <c r="C667" s="2"/>
      <c r="D667" s="2"/>
      <c r="E667" s="2"/>
      <c r="F667" s="2"/>
      <c r="G667" s="2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B668" s="2"/>
      <c r="C668" s="2"/>
      <c r="D668" s="2"/>
      <c r="E668" s="2"/>
      <c r="F668" s="2"/>
      <c r="G668" s="2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B669" s="2"/>
      <c r="C669" s="2"/>
      <c r="D669" s="2"/>
      <c r="E669" s="2"/>
      <c r="F669" s="2"/>
      <c r="G669" s="2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B670" s="2"/>
      <c r="C670" s="2"/>
      <c r="D670" s="2"/>
      <c r="E670" s="2"/>
      <c r="F670" s="2"/>
      <c r="G670" s="2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B671" s="2"/>
      <c r="C671" s="2"/>
      <c r="D671" s="2"/>
      <c r="E671" s="2"/>
      <c r="F671" s="2"/>
      <c r="G671" s="2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B672" s="2"/>
      <c r="C672" s="2"/>
      <c r="D672" s="2"/>
      <c r="E672" s="2"/>
      <c r="F672" s="2"/>
      <c r="G672" s="2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B673" s="2"/>
      <c r="C673" s="2"/>
      <c r="D673" s="2"/>
      <c r="E673" s="2"/>
      <c r="F673" s="2"/>
      <c r="G673" s="2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B674" s="2"/>
      <c r="C674" s="2"/>
      <c r="D674" s="2"/>
      <c r="E674" s="2"/>
      <c r="F674" s="2"/>
      <c r="G674" s="2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B675" s="2"/>
      <c r="C675" s="2"/>
      <c r="D675" s="2"/>
      <c r="E675" s="2"/>
      <c r="F675" s="2"/>
      <c r="G675" s="2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B676" s="2"/>
      <c r="C676" s="2"/>
      <c r="D676" s="2"/>
      <c r="E676" s="2"/>
      <c r="F676" s="2"/>
      <c r="G676" s="2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B677" s="2"/>
      <c r="C677" s="2"/>
      <c r="D677" s="2"/>
      <c r="E677" s="2"/>
      <c r="F677" s="2"/>
      <c r="G677" s="2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B678" s="2"/>
      <c r="C678" s="2"/>
      <c r="D678" s="2"/>
      <c r="E678" s="2"/>
      <c r="F678" s="2"/>
      <c r="G678" s="2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B679" s="2"/>
      <c r="C679" s="2"/>
      <c r="D679" s="2"/>
      <c r="E679" s="2"/>
      <c r="F679" s="2"/>
      <c r="G679" s="2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B680" s="2"/>
      <c r="C680" s="2"/>
      <c r="D680" s="2"/>
      <c r="E680" s="2"/>
      <c r="F680" s="2"/>
      <c r="G680" s="2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B681" s="2"/>
      <c r="C681" s="2"/>
      <c r="D681" s="2"/>
      <c r="E681" s="2"/>
      <c r="F681" s="2"/>
      <c r="G681" s="2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B682" s="2"/>
      <c r="C682" s="2"/>
      <c r="D682" s="2"/>
      <c r="E682" s="2"/>
      <c r="F682" s="2"/>
      <c r="G682" s="2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B683" s="2"/>
      <c r="C683" s="2"/>
      <c r="D683" s="2"/>
      <c r="E683" s="2"/>
      <c r="F683" s="2"/>
      <c r="G683" s="2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B684" s="2"/>
      <c r="C684" s="2"/>
      <c r="D684" s="2"/>
      <c r="E684" s="2"/>
      <c r="F684" s="2"/>
      <c r="G684" s="2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B685" s="2"/>
      <c r="C685" s="2"/>
      <c r="D685" s="2"/>
      <c r="E685" s="2"/>
      <c r="F685" s="2"/>
      <c r="G685" s="2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B686" s="2"/>
      <c r="C686" s="2"/>
      <c r="D686" s="2"/>
      <c r="E686" s="2"/>
      <c r="F686" s="2"/>
      <c r="G686" s="2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B687" s="2"/>
      <c r="C687" s="2"/>
      <c r="D687" s="2"/>
      <c r="E687" s="2"/>
      <c r="F687" s="2"/>
      <c r="G687" s="2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B688" s="2"/>
      <c r="C688" s="2"/>
      <c r="D688" s="2"/>
      <c r="E688" s="2"/>
      <c r="F688" s="2"/>
      <c r="G688" s="2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B689" s="2"/>
      <c r="C689" s="2"/>
      <c r="D689" s="2"/>
      <c r="E689" s="2"/>
      <c r="F689" s="2"/>
      <c r="G689" s="2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B690" s="2"/>
      <c r="C690" s="2"/>
      <c r="D690" s="2"/>
      <c r="E690" s="2"/>
      <c r="F690" s="2"/>
      <c r="G690" s="2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B691" s="2"/>
      <c r="C691" s="2"/>
      <c r="D691" s="2"/>
      <c r="E691" s="2"/>
      <c r="F691" s="2"/>
      <c r="G691" s="2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B692" s="2"/>
      <c r="C692" s="2"/>
      <c r="D692" s="2"/>
      <c r="E692" s="2"/>
      <c r="F692" s="2"/>
      <c r="G692" s="2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B693" s="2"/>
      <c r="C693" s="2"/>
      <c r="D693" s="2"/>
      <c r="E693" s="2"/>
      <c r="F693" s="2"/>
      <c r="G693" s="2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B694" s="2"/>
      <c r="C694" s="2"/>
      <c r="D694" s="2"/>
      <c r="E694" s="2"/>
      <c r="F694" s="2"/>
      <c r="G694" s="2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B695" s="2"/>
      <c r="C695" s="2"/>
      <c r="D695" s="2"/>
      <c r="E695" s="2"/>
      <c r="F695" s="2"/>
      <c r="G695" s="2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B696" s="2"/>
      <c r="C696" s="2"/>
      <c r="D696" s="2"/>
      <c r="E696" s="2"/>
      <c r="F696" s="2"/>
      <c r="G696" s="2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B697" s="2"/>
      <c r="C697" s="2"/>
      <c r="D697" s="2"/>
      <c r="E697" s="2"/>
      <c r="F697" s="2"/>
      <c r="G697" s="2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B698" s="2"/>
      <c r="C698" s="2"/>
      <c r="D698" s="2"/>
      <c r="E698" s="2"/>
      <c r="F698" s="2"/>
      <c r="G698" s="2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B699" s="2"/>
      <c r="C699" s="2"/>
      <c r="D699" s="2"/>
      <c r="E699" s="2"/>
      <c r="F699" s="2"/>
      <c r="G699" s="2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B700" s="2"/>
      <c r="C700" s="2"/>
      <c r="D700" s="2"/>
      <c r="E700" s="2"/>
      <c r="F700" s="2"/>
      <c r="G700" s="2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B701" s="2"/>
      <c r="C701" s="2"/>
      <c r="D701" s="2"/>
      <c r="E701" s="2"/>
      <c r="F701" s="2"/>
      <c r="G701" s="2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B702" s="2"/>
      <c r="C702" s="2"/>
      <c r="D702" s="2"/>
      <c r="E702" s="2"/>
      <c r="F702" s="2"/>
      <c r="G702" s="2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B703" s="2"/>
      <c r="C703" s="2"/>
      <c r="D703" s="2"/>
      <c r="E703" s="2"/>
      <c r="F703" s="2"/>
      <c r="G703" s="2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B704" s="2"/>
      <c r="C704" s="2"/>
      <c r="D704" s="2"/>
      <c r="E704" s="2"/>
      <c r="F704" s="2"/>
      <c r="G704" s="2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B705" s="2"/>
      <c r="C705" s="2"/>
      <c r="D705" s="2"/>
      <c r="E705" s="2"/>
      <c r="F705" s="2"/>
      <c r="G705" s="2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B706" s="2"/>
      <c r="C706" s="2"/>
      <c r="D706" s="2"/>
      <c r="E706" s="2"/>
      <c r="F706" s="2"/>
      <c r="G706" s="2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B707" s="2"/>
      <c r="C707" s="2"/>
      <c r="D707" s="2"/>
      <c r="E707" s="2"/>
      <c r="F707" s="2"/>
      <c r="G707" s="2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B708" s="2"/>
      <c r="C708" s="2"/>
      <c r="D708" s="2"/>
      <c r="E708" s="2"/>
      <c r="F708" s="2"/>
      <c r="G708" s="2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B709" s="2"/>
      <c r="C709" s="2"/>
      <c r="D709" s="2"/>
      <c r="E709" s="2"/>
      <c r="F709" s="2"/>
      <c r="G709" s="2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B710" s="2"/>
      <c r="C710" s="2"/>
      <c r="D710" s="2"/>
      <c r="E710" s="2"/>
      <c r="F710" s="2"/>
      <c r="G710" s="2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B711" s="2"/>
      <c r="C711" s="2"/>
      <c r="D711" s="2"/>
      <c r="E711" s="2"/>
      <c r="F711" s="2"/>
      <c r="G711" s="2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B712" s="2"/>
      <c r="C712" s="2"/>
      <c r="D712" s="2"/>
      <c r="E712" s="2"/>
      <c r="F712" s="2"/>
      <c r="G712" s="2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B713" s="2"/>
      <c r="C713" s="2"/>
      <c r="D713" s="2"/>
      <c r="E713" s="2"/>
      <c r="F713" s="2"/>
      <c r="G713" s="2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B714" s="2"/>
      <c r="C714" s="2"/>
      <c r="D714" s="2"/>
      <c r="E714" s="2"/>
      <c r="F714" s="2"/>
      <c r="G714" s="2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B715" s="2"/>
      <c r="C715" s="2"/>
      <c r="D715" s="2"/>
      <c r="E715" s="2"/>
      <c r="F715" s="2"/>
      <c r="G715" s="2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B716" s="2"/>
      <c r="C716" s="2"/>
      <c r="D716" s="2"/>
      <c r="E716" s="2"/>
      <c r="F716" s="2"/>
      <c r="G716" s="2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B717" s="2"/>
      <c r="C717" s="2"/>
      <c r="D717" s="2"/>
      <c r="E717" s="2"/>
      <c r="F717" s="2"/>
      <c r="G717" s="2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B718" s="2"/>
      <c r="C718" s="2"/>
      <c r="D718" s="2"/>
      <c r="E718" s="2"/>
      <c r="F718" s="2"/>
      <c r="G718" s="2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B719" s="2"/>
      <c r="C719" s="2"/>
      <c r="D719" s="2"/>
      <c r="E719" s="2"/>
      <c r="F719" s="2"/>
      <c r="G719" s="2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B720" s="2"/>
      <c r="C720" s="2"/>
      <c r="D720" s="2"/>
      <c r="E720" s="2"/>
      <c r="F720" s="2"/>
      <c r="G720" s="2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B721" s="2"/>
      <c r="C721" s="2"/>
      <c r="D721" s="2"/>
      <c r="E721" s="2"/>
      <c r="F721" s="2"/>
      <c r="G721" s="2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B722" s="2"/>
      <c r="C722" s="2"/>
      <c r="D722" s="2"/>
      <c r="E722" s="2"/>
      <c r="F722" s="2"/>
      <c r="G722" s="2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B723" s="2"/>
      <c r="C723" s="2"/>
      <c r="D723" s="2"/>
      <c r="E723" s="2"/>
      <c r="F723" s="2"/>
      <c r="G723" s="2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B724" s="2"/>
      <c r="C724" s="2"/>
      <c r="D724" s="2"/>
      <c r="E724" s="2"/>
      <c r="F724" s="2"/>
      <c r="G724" s="2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B725" s="2"/>
      <c r="C725" s="2"/>
      <c r="D725" s="2"/>
      <c r="E725" s="2"/>
      <c r="F725" s="2"/>
      <c r="G725" s="2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B726" s="2"/>
      <c r="C726" s="2"/>
      <c r="D726" s="2"/>
      <c r="E726" s="2"/>
      <c r="F726" s="2"/>
      <c r="G726" s="2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B727" s="2"/>
      <c r="C727" s="2"/>
      <c r="D727" s="2"/>
      <c r="E727" s="2"/>
      <c r="F727" s="2"/>
      <c r="G727" s="2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B728" s="2"/>
      <c r="C728" s="2"/>
      <c r="D728" s="2"/>
      <c r="E728" s="2"/>
      <c r="F728" s="2"/>
      <c r="G728" s="2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B729" s="2"/>
      <c r="C729" s="2"/>
      <c r="D729" s="2"/>
      <c r="E729" s="2"/>
      <c r="F729" s="2"/>
      <c r="G729" s="2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B730" s="2"/>
      <c r="C730" s="2"/>
      <c r="D730" s="2"/>
      <c r="E730" s="2"/>
      <c r="F730" s="2"/>
      <c r="G730" s="2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B731" s="2"/>
      <c r="C731" s="2"/>
      <c r="D731" s="2"/>
      <c r="E731" s="2"/>
      <c r="F731" s="2"/>
      <c r="G731" s="2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B732" s="2"/>
      <c r="C732" s="2"/>
      <c r="D732" s="2"/>
      <c r="E732" s="2"/>
      <c r="F732" s="2"/>
      <c r="G732" s="2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B733" s="2"/>
      <c r="C733" s="2"/>
      <c r="D733" s="2"/>
      <c r="E733" s="2"/>
      <c r="F733" s="2"/>
      <c r="G733" s="2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B734" s="2"/>
      <c r="C734" s="2"/>
      <c r="D734" s="2"/>
      <c r="E734" s="2"/>
      <c r="F734" s="2"/>
      <c r="G734" s="2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B735" s="2"/>
      <c r="C735" s="2"/>
      <c r="D735" s="2"/>
      <c r="E735" s="2"/>
      <c r="F735" s="2"/>
      <c r="G735" s="2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B736" s="2"/>
      <c r="C736" s="2"/>
      <c r="D736" s="2"/>
      <c r="E736" s="2"/>
      <c r="F736" s="2"/>
      <c r="G736" s="2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B737" s="2"/>
      <c r="C737" s="2"/>
      <c r="D737" s="2"/>
      <c r="E737" s="2"/>
      <c r="F737" s="2"/>
      <c r="G737" s="2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B738" s="2"/>
      <c r="C738" s="2"/>
      <c r="D738" s="2"/>
      <c r="E738" s="2"/>
      <c r="F738" s="2"/>
      <c r="G738" s="2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B739" s="2"/>
      <c r="C739" s="2"/>
      <c r="D739" s="2"/>
      <c r="E739" s="2"/>
      <c r="F739" s="2"/>
      <c r="G739" s="2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B740" s="2"/>
      <c r="C740" s="2"/>
      <c r="D740" s="2"/>
      <c r="E740" s="2"/>
      <c r="F740" s="2"/>
      <c r="G740" s="2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B741" s="2"/>
      <c r="C741" s="2"/>
      <c r="D741" s="2"/>
      <c r="E741" s="2"/>
      <c r="F741" s="2"/>
      <c r="G741" s="2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B742" s="2"/>
      <c r="C742" s="2"/>
      <c r="D742" s="2"/>
      <c r="E742" s="2"/>
      <c r="F742" s="2"/>
      <c r="G742" s="2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B743" s="2"/>
      <c r="C743" s="2"/>
      <c r="D743" s="2"/>
      <c r="E743" s="2"/>
      <c r="F743" s="2"/>
      <c r="G743" s="2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B744" s="2"/>
      <c r="C744" s="2"/>
      <c r="D744" s="2"/>
      <c r="E744" s="2"/>
      <c r="F744" s="2"/>
      <c r="G744" s="2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B745" s="2"/>
      <c r="C745" s="2"/>
      <c r="D745" s="2"/>
      <c r="E745" s="2"/>
      <c r="F745" s="2"/>
      <c r="G745" s="2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B746" s="2"/>
      <c r="C746" s="2"/>
      <c r="D746" s="2"/>
      <c r="E746" s="2"/>
      <c r="F746" s="2"/>
      <c r="G746" s="2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B747" s="2"/>
      <c r="C747" s="2"/>
      <c r="D747" s="2"/>
      <c r="E747" s="2"/>
      <c r="F747" s="2"/>
      <c r="G747" s="2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B748" s="2"/>
      <c r="C748" s="2"/>
      <c r="D748" s="2"/>
      <c r="E748" s="2"/>
      <c r="F748" s="2"/>
      <c r="G748" s="2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B749" s="2"/>
      <c r="C749" s="2"/>
      <c r="D749" s="2"/>
      <c r="E749" s="2"/>
      <c r="F749" s="2"/>
      <c r="G749" s="2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B750" s="2"/>
      <c r="C750" s="2"/>
      <c r="D750" s="2"/>
      <c r="E750" s="2"/>
      <c r="F750" s="2"/>
      <c r="G750" s="2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B751" s="2"/>
      <c r="C751" s="2"/>
      <c r="D751" s="2"/>
      <c r="E751" s="2"/>
      <c r="F751" s="2"/>
      <c r="G751" s="2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B752" s="2"/>
      <c r="C752" s="2"/>
      <c r="D752" s="2"/>
      <c r="E752" s="2"/>
      <c r="F752" s="2"/>
      <c r="G752" s="2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B753" s="2"/>
      <c r="C753" s="2"/>
      <c r="D753" s="2"/>
      <c r="E753" s="2"/>
      <c r="F753" s="2"/>
      <c r="G753" s="2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B754" s="2"/>
      <c r="C754" s="2"/>
      <c r="D754" s="2"/>
      <c r="E754" s="2"/>
      <c r="F754" s="2"/>
      <c r="G754" s="2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B755" s="2"/>
      <c r="C755" s="2"/>
      <c r="D755" s="2"/>
      <c r="E755" s="2"/>
      <c r="F755" s="2"/>
      <c r="G755" s="2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B756" s="2"/>
      <c r="C756" s="2"/>
      <c r="D756" s="2"/>
      <c r="E756" s="2"/>
      <c r="F756" s="2"/>
      <c r="G756" s="2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B757" s="2"/>
      <c r="C757" s="2"/>
      <c r="D757" s="2"/>
      <c r="E757" s="2"/>
      <c r="F757" s="2"/>
      <c r="G757" s="2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B758" s="2"/>
      <c r="C758" s="2"/>
      <c r="D758" s="2"/>
      <c r="E758" s="2"/>
      <c r="F758" s="2"/>
      <c r="G758" s="2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B759" s="2"/>
      <c r="C759" s="2"/>
      <c r="D759" s="2"/>
      <c r="E759" s="2"/>
      <c r="F759" s="2"/>
      <c r="G759" s="2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B760" s="2"/>
      <c r="C760" s="2"/>
      <c r="D760" s="2"/>
      <c r="E760" s="2"/>
      <c r="F760" s="2"/>
      <c r="G760" s="2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B761" s="2"/>
      <c r="C761" s="2"/>
      <c r="D761" s="2"/>
      <c r="E761" s="2"/>
      <c r="F761" s="2"/>
      <c r="G761" s="2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B762" s="2"/>
      <c r="C762" s="2"/>
      <c r="D762" s="2"/>
      <c r="E762" s="2"/>
      <c r="F762" s="2"/>
      <c r="G762" s="2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B763" s="2"/>
      <c r="C763" s="2"/>
      <c r="D763" s="2"/>
      <c r="E763" s="2"/>
      <c r="F763" s="2"/>
      <c r="G763" s="2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B764" s="2"/>
      <c r="C764" s="2"/>
      <c r="D764" s="2"/>
      <c r="E764" s="2"/>
      <c r="F764" s="2"/>
      <c r="G764" s="2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B765" s="2"/>
      <c r="C765" s="2"/>
      <c r="D765" s="2"/>
      <c r="E765" s="2"/>
      <c r="F765" s="2"/>
      <c r="G765" s="2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B766" s="2"/>
      <c r="C766" s="2"/>
      <c r="D766" s="2"/>
      <c r="E766" s="2"/>
      <c r="F766" s="2"/>
      <c r="G766" s="2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B767" s="2"/>
      <c r="C767" s="2"/>
      <c r="D767" s="2"/>
      <c r="E767" s="2"/>
      <c r="F767" s="2"/>
      <c r="G767" s="2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B768" s="2"/>
      <c r="C768" s="2"/>
      <c r="D768" s="2"/>
      <c r="E768" s="2"/>
      <c r="F768" s="2"/>
      <c r="G768" s="2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B769" s="2"/>
      <c r="C769" s="2"/>
      <c r="D769" s="2"/>
      <c r="E769" s="2"/>
      <c r="F769" s="2"/>
      <c r="G769" s="2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B770" s="2"/>
      <c r="C770" s="2"/>
      <c r="D770" s="2"/>
      <c r="E770" s="2"/>
      <c r="F770" s="2"/>
      <c r="G770" s="2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B771" s="2"/>
      <c r="C771" s="2"/>
      <c r="D771" s="2"/>
      <c r="E771" s="2"/>
      <c r="F771" s="2"/>
      <c r="G771" s="2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B772" s="2"/>
      <c r="C772" s="2"/>
      <c r="D772" s="2"/>
      <c r="E772" s="2"/>
      <c r="F772" s="2"/>
      <c r="G772" s="2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B773" s="2"/>
      <c r="C773" s="2"/>
      <c r="D773" s="2"/>
      <c r="E773" s="2"/>
      <c r="F773" s="2"/>
      <c r="G773" s="2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B774" s="2"/>
      <c r="C774" s="2"/>
      <c r="D774" s="2"/>
      <c r="E774" s="2"/>
      <c r="F774" s="2"/>
      <c r="G774" s="2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B775" s="2"/>
      <c r="C775" s="2"/>
      <c r="D775" s="2"/>
      <c r="E775" s="2"/>
      <c r="F775" s="2"/>
      <c r="G775" s="2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B776" s="2"/>
      <c r="C776" s="2"/>
      <c r="D776" s="2"/>
      <c r="E776" s="2"/>
      <c r="F776" s="2"/>
      <c r="G776" s="2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B777" s="2"/>
      <c r="C777" s="2"/>
      <c r="D777" s="2"/>
      <c r="E777" s="2"/>
      <c r="F777" s="2"/>
      <c r="G777" s="2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B778" s="2"/>
      <c r="C778" s="2"/>
      <c r="D778" s="2"/>
      <c r="E778" s="2"/>
      <c r="F778" s="2"/>
      <c r="G778" s="2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B779" s="2"/>
      <c r="C779" s="2"/>
      <c r="D779" s="2"/>
      <c r="E779" s="2"/>
      <c r="F779" s="2"/>
      <c r="G779" s="2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B780" s="2"/>
      <c r="C780" s="2"/>
      <c r="D780" s="2"/>
      <c r="E780" s="2"/>
      <c r="F780" s="2"/>
      <c r="G780" s="2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B781" s="2"/>
      <c r="C781" s="2"/>
      <c r="D781" s="2"/>
      <c r="E781" s="2"/>
      <c r="F781" s="2"/>
      <c r="G781" s="2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B782" s="2"/>
      <c r="C782" s="2"/>
      <c r="D782" s="2"/>
      <c r="E782" s="2"/>
      <c r="F782" s="2"/>
      <c r="G782" s="2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B783" s="2"/>
      <c r="C783" s="2"/>
      <c r="D783" s="2"/>
      <c r="E783" s="2"/>
      <c r="F783" s="2"/>
      <c r="G783" s="2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B784" s="2"/>
      <c r="C784" s="2"/>
      <c r="D784" s="2"/>
      <c r="E784" s="2"/>
      <c r="F784" s="2"/>
      <c r="G784" s="2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B785" s="2"/>
      <c r="C785" s="2"/>
      <c r="D785" s="2"/>
      <c r="E785" s="2"/>
      <c r="F785" s="2"/>
      <c r="G785" s="2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B786" s="2"/>
      <c r="C786" s="2"/>
      <c r="D786" s="2"/>
      <c r="E786" s="2"/>
      <c r="F786" s="2"/>
      <c r="G786" s="2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B787" s="2"/>
      <c r="C787" s="2"/>
      <c r="D787" s="2"/>
      <c r="E787" s="2"/>
      <c r="F787" s="2"/>
      <c r="G787" s="2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B788" s="2"/>
      <c r="C788" s="2"/>
      <c r="D788" s="2"/>
      <c r="E788" s="2"/>
      <c r="F788" s="2"/>
      <c r="G788" s="2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B789" s="2"/>
      <c r="C789" s="2"/>
      <c r="D789" s="2"/>
      <c r="E789" s="2"/>
      <c r="F789" s="2"/>
      <c r="G789" s="2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B790" s="2"/>
      <c r="C790" s="2"/>
      <c r="D790" s="2"/>
      <c r="E790" s="2"/>
      <c r="F790" s="2"/>
      <c r="G790" s="2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B791" s="2"/>
      <c r="C791" s="2"/>
      <c r="D791" s="2"/>
      <c r="E791" s="2"/>
      <c r="F791" s="2"/>
      <c r="G791" s="2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B792" s="2"/>
      <c r="C792" s="2"/>
      <c r="D792" s="2"/>
      <c r="E792" s="2"/>
      <c r="F792" s="2"/>
      <c r="G792" s="2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B793" s="2"/>
      <c r="C793" s="2"/>
      <c r="D793" s="2"/>
      <c r="E793" s="2"/>
      <c r="F793" s="2"/>
      <c r="G793" s="2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B794" s="2"/>
      <c r="C794" s="2"/>
      <c r="D794" s="2"/>
      <c r="E794" s="2"/>
      <c r="F794" s="2"/>
      <c r="G794" s="2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B795" s="2"/>
      <c r="C795" s="2"/>
      <c r="D795" s="2"/>
      <c r="E795" s="2"/>
      <c r="F795" s="2"/>
      <c r="G795" s="2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B796" s="2"/>
      <c r="C796" s="2"/>
      <c r="D796" s="2"/>
      <c r="E796" s="2"/>
      <c r="F796" s="2"/>
      <c r="G796" s="2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B797" s="2"/>
      <c r="C797" s="2"/>
      <c r="D797" s="2"/>
      <c r="E797" s="2"/>
      <c r="F797" s="2"/>
      <c r="G797" s="2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B798" s="2"/>
      <c r="C798" s="2"/>
      <c r="D798" s="2"/>
      <c r="E798" s="2"/>
      <c r="F798" s="2"/>
      <c r="G798" s="2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B799" s="2"/>
      <c r="C799" s="2"/>
      <c r="D799" s="2"/>
      <c r="E799" s="2"/>
      <c r="F799" s="2"/>
      <c r="G799" s="2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B800" s="2"/>
      <c r="C800" s="2"/>
      <c r="D800" s="2"/>
      <c r="E800" s="2"/>
      <c r="F800" s="2"/>
      <c r="G800" s="2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B801" s="2"/>
      <c r="C801" s="2"/>
      <c r="D801" s="2"/>
      <c r="E801" s="2"/>
      <c r="F801" s="2"/>
      <c r="G801" s="2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B802" s="2"/>
      <c r="C802" s="2"/>
      <c r="D802" s="2"/>
      <c r="E802" s="2"/>
      <c r="F802" s="2"/>
      <c r="G802" s="2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B803" s="2"/>
      <c r="C803" s="2"/>
      <c r="D803" s="2"/>
      <c r="E803" s="2"/>
      <c r="F803" s="2"/>
      <c r="G803" s="2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B804" s="2"/>
      <c r="C804" s="2"/>
      <c r="D804" s="2"/>
      <c r="E804" s="2"/>
      <c r="F804" s="2"/>
      <c r="G804" s="2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B805" s="2"/>
      <c r="C805" s="2"/>
      <c r="D805" s="2"/>
      <c r="E805" s="2"/>
      <c r="F805" s="2"/>
      <c r="G805" s="2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B806" s="2"/>
      <c r="C806" s="2"/>
      <c r="D806" s="2"/>
      <c r="E806" s="2"/>
      <c r="F806" s="2"/>
      <c r="G806" s="2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B807" s="2"/>
      <c r="C807" s="2"/>
      <c r="D807" s="2"/>
      <c r="E807" s="2"/>
      <c r="F807" s="2"/>
      <c r="G807" s="2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B808" s="2"/>
      <c r="C808" s="2"/>
      <c r="D808" s="2"/>
      <c r="E808" s="2"/>
      <c r="F808" s="2"/>
      <c r="G808" s="2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B809" s="2"/>
      <c r="C809" s="2"/>
      <c r="D809" s="2"/>
      <c r="E809" s="2"/>
      <c r="F809" s="2"/>
      <c r="G809" s="2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B810" s="2"/>
      <c r="C810" s="2"/>
      <c r="D810" s="2"/>
      <c r="E810" s="2"/>
      <c r="F810" s="2"/>
      <c r="G810" s="2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B811" s="2"/>
      <c r="C811" s="2"/>
      <c r="D811" s="2"/>
      <c r="E811" s="2"/>
      <c r="F811" s="2"/>
      <c r="G811" s="2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B812" s="2"/>
      <c r="C812" s="2"/>
      <c r="D812" s="2"/>
      <c r="E812" s="2"/>
      <c r="F812" s="2"/>
      <c r="G812" s="2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B813" s="2"/>
      <c r="C813" s="2"/>
      <c r="D813" s="2"/>
      <c r="E813" s="2"/>
      <c r="F813" s="2"/>
      <c r="G813" s="2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B814" s="2"/>
      <c r="C814" s="2"/>
      <c r="D814" s="2"/>
      <c r="E814" s="2"/>
      <c r="F814" s="2"/>
      <c r="G814" s="2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B815" s="2"/>
      <c r="C815" s="2"/>
      <c r="D815" s="2"/>
      <c r="E815" s="2"/>
      <c r="F815" s="2"/>
      <c r="G815" s="2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B816" s="2"/>
      <c r="C816" s="2"/>
      <c r="D816" s="2"/>
      <c r="E816" s="2"/>
      <c r="F816" s="2"/>
      <c r="G816" s="2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B817" s="2"/>
      <c r="C817" s="2"/>
      <c r="D817" s="2"/>
      <c r="E817" s="2"/>
      <c r="F817" s="2"/>
      <c r="G817" s="2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B818" s="2"/>
      <c r="C818" s="2"/>
      <c r="D818" s="2"/>
      <c r="E818" s="2"/>
      <c r="F818" s="2"/>
      <c r="G818" s="2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B819" s="2"/>
      <c r="C819" s="2"/>
      <c r="D819" s="2"/>
      <c r="E819" s="2"/>
      <c r="F819" s="2"/>
      <c r="G819" s="2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B820" s="2"/>
      <c r="C820" s="2"/>
      <c r="D820" s="2"/>
      <c r="E820" s="2"/>
      <c r="F820" s="2"/>
      <c r="G820" s="2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B821" s="2"/>
      <c r="C821" s="2"/>
      <c r="D821" s="2"/>
      <c r="E821" s="2"/>
      <c r="F821" s="2"/>
      <c r="G821" s="2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B822" s="2"/>
      <c r="C822" s="2"/>
      <c r="D822" s="2"/>
      <c r="E822" s="2"/>
      <c r="F822" s="2"/>
      <c r="G822" s="2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B823" s="2"/>
      <c r="C823" s="2"/>
      <c r="D823" s="2"/>
      <c r="E823" s="2"/>
      <c r="F823" s="2"/>
      <c r="G823" s="2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B824" s="2"/>
      <c r="C824" s="2"/>
      <c r="D824" s="2"/>
      <c r="E824" s="2"/>
      <c r="F824" s="2"/>
      <c r="G824" s="2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B825" s="2"/>
      <c r="C825" s="2"/>
      <c r="D825" s="2"/>
      <c r="E825" s="2"/>
      <c r="F825" s="2"/>
      <c r="G825" s="2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B826" s="2"/>
      <c r="C826" s="2"/>
      <c r="D826" s="2"/>
      <c r="E826" s="2"/>
      <c r="F826" s="2"/>
      <c r="G826" s="2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B827" s="2"/>
      <c r="C827" s="2"/>
      <c r="D827" s="2"/>
      <c r="E827" s="2"/>
      <c r="F827" s="2"/>
      <c r="G827" s="2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B828" s="2"/>
      <c r="C828" s="2"/>
      <c r="D828" s="2"/>
      <c r="E828" s="2"/>
      <c r="F828" s="2"/>
      <c r="G828" s="2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B829" s="2"/>
      <c r="C829" s="2"/>
      <c r="D829" s="2"/>
      <c r="E829" s="2"/>
      <c r="F829" s="2"/>
      <c r="G829" s="2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B830" s="2"/>
      <c r="C830" s="2"/>
      <c r="D830" s="2"/>
      <c r="E830" s="2"/>
      <c r="F830" s="2"/>
      <c r="G830" s="2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B831" s="2"/>
      <c r="C831" s="2"/>
      <c r="D831" s="2"/>
      <c r="E831" s="2"/>
      <c r="F831" s="2"/>
      <c r="G831" s="2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B832" s="2"/>
      <c r="C832" s="2"/>
      <c r="D832" s="2"/>
      <c r="E832" s="2"/>
      <c r="F832" s="2"/>
      <c r="G832" s="2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B833" s="2"/>
      <c r="C833" s="2"/>
      <c r="D833" s="2"/>
      <c r="E833" s="2"/>
      <c r="F833" s="2"/>
      <c r="G833" s="2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B834" s="2"/>
      <c r="C834" s="2"/>
      <c r="D834" s="2"/>
      <c r="E834" s="2"/>
      <c r="F834" s="2"/>
      <c r="G834" s="2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B835" s="2"/>
      <c r="C835" s="2"/>
      <c r="D835" s="2"/>
      <c r="E835" s="2"/>
      <c r="F835" s="2"/>
      <c r="G835" s="2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B836" s="2"/>
      <c r="C836" s="2"/>
      <c r="D836" s="2"/>
      <c r="E836" s="2"/>
      <c r="F836" s="2"/>
      <c r="G836" s="2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B837" s="2"/>
      <c r="C837" s="2"/>
      <c r="D837" s="2"/>
      <c r="E837" s="2"/>
      <c r="F837" s="2"/>
      <c r="G837" s="2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B838" s="2"/>
      <c r="C838" s="2"/>
      <c r="D838" s="2"/>
      <c r="E838" s="2"/>
      <c r="F838" s="2"/>
      <c r="G838" s="2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B839" s="2"/>
      <c r="C839" s="2"/>
      <c r="D839" s="2"/>
      <c r="E839" s="2"/>
      <c r="F839" s="2"/>
      <c r="G839" s="2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B840" s="2"/>
      <c r="C840" s="2"/>
      <c r="D840" s="2"/>
      <c r="E840" s="2"/>
      <c r="F840" s="2"/>
      <c r="G840" s="2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B841" s="2"/>
      <c r="C841" s="2"/>
      <c r="D841" s="2"/>
      <c r="E841" s="2"/>
      <c r="F841" s="2"/>
      <c r="G841" s="2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B842" s="2"/>
      <c r="C842" s="2"/>
      <c r="D842" s="2"/>
      <c r="E842" s="2"/>
      <c r="F842" s="2"/>
      <c r="G842" s="2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B843" s="2"/>
      <c r="C843" s="2"/>
      <c r="D843" s="2"/>
      <c r="E843" s="2"/>
      <c r="F843" s="2"/>
      <c r="G843" s="2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B844" s="2"/>
      <c r="C844" s="2"/>
      <c r="D844" s="2"/>
      <c r="E844" s="2"/>
      <c r="F844" s="2"/>
      <c r="G844" s="2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B845" s="2"/>
      <c r="C845" s="2"/>
      <c r="D845" s="2"/>
      <c r="E845" s="2"/>
      <c r="F845" s="2"/>
      <c r="G845" s="2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B846" s="2"/>
      <c r="C846" s="2"/>
      <c r="D846" s="2"/>
      <c r="E846" s="2"/>
      <c r="F846" s="2"/>
      <c r="G846" s="2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B847" s="2"/>
      <c r="C847" s="2"/>
      <c r="D847" s="2"/>
      <c r="E847" s="2"/>
      <c r="F847" s="2"/>
      <c r="G847" s="2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B848" s="2"/>
      <c r="C848" s="2"/>
      <c r="D848" s="2"/>
      <c r="E848" s="2"/>
      <c r="F848" s="2"/>
      <c r="G848" s="2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B849" s="2"/>
      <c r="C849" s="2"/>
      <c r="D849" s="2"/>
      <c r="E849" s="2"/>
      <c r="F849" s="2"/>
      <c r="G849" s="2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B850" s="2"/>
      <c r="C850" s="2"/>
      <c r="D850" s="2"/>
      <c r="E850" s="2"/>
      <c r="F850" s="2"/>
      <c r="G850" s="2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B851" s="2"/>
      <c r="C851" s="2"/>
      <c r="D851" s="2"/>
      <c r="E851" s="2"/>
      <c r="F851" s="2"/>
      <c r="G851" s="2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B852" s="2"/>
      <c r="C852" s="2"/>
      <c r="D852" s="2"/>
      <c r="E852" s="2"/>
      <c r="F852" s="2"/>
      <c r="G852" s="2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B853" s="2"/>
      <c r="C853" s="2"/>
      <c r="D853" s="2"/>
      <c r="E853" s="2"/>
      <c r="F853" s="2"/>
      <c r="G853" s="2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B854" s="2"/>
      <c r="C854" s="2"/>
      <c r="D854" s="2"/>
      <c r="E854" s="2"/>
      <c r="F854" s="2"/>
      <c r="G854" s="2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B855" s="2"/>
      <c r="C855" s="2"/>
      <c r="D855" s="2"/>
      <c r="E855" s="2"/>
      <c r="F855" s="2"/>
      <c r="G855" s="2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B856" s="2"/>
      <c r="C856" s="2"/>
      <c r="D856" s="2"/>
      <c r="E856" s="2"/>
      <c r="F856" s="2"/>
      <c r="G856" s="2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B857" s="2"/>
      <c r="C857" s="2"/>
      <c r="D857" s="2"/>
      <c r="E857" s="2"/>
      <c r="F857" s="2"/>
      <c r="G857" s="2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B858" s="2"/>
      <c r="C858" s="2"/>
      <c r="D858" s="2"/>
      <c r="E858" s="2"/>
      <c r="F858" s="2"/>
      <c r="G858" s="2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B859" s="2"/>
      <c r="C859" s="2"/>
      <c r="D859" s="2"/>
      <c r="E859" s="2"/>
      <c r="F859" s="2"/>
      <c r="G859" s="2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B860" s="2"/>
      <c r="C860" s="2"/>
      <c r="D860" s="2"/>
      <c r="E860" s="2"/>
      <c r="F860" s="2"/>
      <c r="G860" s="2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B861" s="2"/>
      <c r="C861" s="2"/>
      <c r="D861" s="2"/>
      <c r="E861" s="2"/>
      <c r="F861" s="2"/>
      <c r="G861" s="2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B862" s="2"/>
      <c r="C862" s="2"/>
      <c r="D862" s="2"/>
      <c r="E862" s="2"/>
      <c r="F862" s="2"/>
      <c r="G862" s="2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B863" s="2"/>
      <c r="C863" s="2"/>
      <c r="D863" s="2"/>
      <c r="E863" s="2"/>
      <c r="F863" s="2"/>
      <c r="G863" s="2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B864" s="2"/>
      <c r="C864" s="2"/>
      <c r="D864" s="2"/>
      <c r="E864" s="2"/>
      <c r="F864" s="2"/>
      <c r="G864" s="2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B865" s="2"/>
      <c r="C865" s="2"/>
      <c r="D865" s="2"/>
      <c r="E865" s="2"/>
      <c r="F865" s="2"/>
      <c r="G865" s="2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B866" s="2"/>
      <c r="C866" s="2"/>
      <c r="D866" s="2"/>
      <c r="E866" s="2"/>
      <c r="F866" s="2"/>
      <c r="G866" s="2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B867" s="2"/>
      <c r="C867" s="2"/>
      <c r="D867" s="2"/>
      <c r="E867" s="2"/>
      <c r="F867" s="2"/>
      <c r="G867" s="2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B868" s="2"/>
      <c r="C868" s="2"/>
      <c r="D868" s="2"/>
      <c r="E868" s="2"/>
      <c r="F868" s="2"/>
      <c r="G868" s="2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B869" s="2"/>
      <c r="C869" s="2"/>
      <c r="D869" s="2"/>
      <c r="E869" s="2"/>
      <c r="F869" s="2"/>
      <c r="G869" s="2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B870" s="2"/>
      <c r="C870" s="2"/>
      <c r="D870" s="2"/>
      <c r="E870" s="2"/>
      <c r="F870" s="2"/>
      <c r="G870" s="2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B871" s="2"/>
      <c r="C871" s="2"/>
      <c r="D871" s="2"/>
      <c r="E871" s="2"/>
      <c r="F871" s="2"/>
      <c r="G871" s="2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B872" s="2"/>
      <c r="C872" s="2"/>
      <c r="D872" s="2"/>
      <c r="E872" s="2"/>
      <c r="F872" s="2"/>
      <c r="G872" s="2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B873" s="2"/>
      <c r="C873" s="2"/>
      <c r="D873" s="2"/>
      <c r="E873" s="2"/>
      <c r="F873" s="2"/>
      <c r="G873" s="2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B874" s="2"/>
      <c r="C874" s="2"/>
      <c r="D874" s="2"/>
      <c r="E874" s="2"/>
      <c r="F874" s="2"/>
      <c r="G874" s="2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B875" s="2"/>
      <c r="C875" s="2"/>
      <c r="D875" s="2"/>
      <c r="E875" s="2"/>
      <c r="F875" s="2"/>
      <c r="G875" s="2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B876" s="2"/>
      <c r="C876" s="2"/>
      <c r="D876" s="2"/>
      <c r="E876" s="2"/>
      <c r="F876" s="2"/>
      <c r="G876" s="2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B877" s="2"/>
      <c r="C877" s="2"/>
      <c r="D877" s="2"/>
      <c r="E877" s="2"/>
      <c r="F877" s="2"/>
      <c r="G877" s="2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B878" s="2"/>
      <c r="C878" s="2"/>
      <c r="D878" s="2"/>
      <c r="E878" s="2"/>
      <c r="F878" s="2"/>
      <c r="G878" s="2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B879" s="2"/>
      <c r="C879" s="2"/>
      <c r="D879" s="2"/>
      <c r="E879" s="2"/>
      <c r="F879" s="2"/>
      <c r="G879" s="2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B880" s="2"/>
      <c r="C880" s="2"/>
      <c r="D880" s="2"/>
      <c r="E880" s="2"/>
      <c r="F880" s="2"/>
      <c r="G880" s="2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B881" s="2"/>
      <c r="C881" s="2"/>
      <c r="D881" s="2"/>
      <c r="E881" s="2"/>
      <c r="F881" s="2"/>
      <c r="G881" s="2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B882" s="2"/>
      <c r="C882" s="2"/>
      <c r="D882" s="2"/>
      <c r="E882" s="2"/>
      <c r="F882" s="2"/>
      <c r="G882" s="2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B883" s="2"/>
      <c r="C883" s="2"/>
      <c r="D883" s="2"/>
      <c r="E883" s="2"/>
      <c r="F883" s="2"/>
      <c r="G883" s="2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B884" s="2"/>
      <c r="C884" s="2"/>
      <c r="D884" s="2"/>
      <c r="E884" s="2"/>
      <c r="F884" s="2"/>
      <c r="G884" s="2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B885" s="2"/>
      <c r="C885" s="2"/>
      <c r="D885" s="2"/>
      <c r="E885" s="2"/>
      <c r="F885" s="2"/>
      <c r="G885" s="2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B886" s="2"/>
      <c r="C886" s="2"/>
      <c r="D886" s="2"/>
      <c r="E886" s="2"/>
      <c r="F886" s="2"/>
      <c r="G886" s="2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B887" s="2"/>
      <c r="C887" s="2"/>
      <c r="D887" s="2"/>
      <c r="E887" s="2"/>
      <c r="F887" s="2"/>
      <c r="G887" s="2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B888" s="2"/>
      <c r="C888" s="2"/>
      <c r="D888" s="2"/>
      <c r="E888" s="2"/>
      <c r="F888" s="2"/>
      <c r="G888" s="2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B889" s="2"/>
      <c r="C889" s="2"/>
      <c r="D889" s="2"/>
      <c r="E889" s="2"/>
      <c r="F889" s="2"/>
      <c r="G889" s="2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B890" s="2"/>
      <c r="C890" s="2"/>
      <c r="D890" s="2"/>
      <c r="E890" s="2"/>
      <c r="F890" s="2"/>
      <c r="G890" s="2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B891" s="2"/>
      <c r="C891" s="2"/>
      <c r="D891" s="2"/>
      <c r="E891" s="2"/>
      <c r="F891" s="2"/>
      <c r="G891" s="2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B892" s="2"/>
      <c r="C892" s="2"/>
      <c r="D892" s="2"/>
      <c r="E892" s="2"/>
      <c r="F892" s="2"/>
      <c r="G892" s="2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B893" s="2"/>
      <c r="C893" s="2"/>
      <c r="D893" s="2"/>
      <c r="E893" s="2"/>
      <c r="F893" s="2"/>
      <c r="G893" s="2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B894" s="2"/>
      <c r="C894" s="2"/>
      <c r="D894" s="2"/>
      <c r="E894" s="2"/>
      <c r="F894" s="2"/>
      <c r="G894" s="2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B895" s="2"/>
      <c r="C895" s="2"/>
      <c r="D895" s="2"/>
      <c r="E895" s="2"/>
      <c r="F895" s="2"/>
      <c r="G895" s="2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B896" s="2"/>
      <c r="C896" s="2"/>
      <c r="D896" s="2"/>
      <c r="E896" s="2"/>
      <c r="F896" s="2"/>
      <c r="G896" s="2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B897" s="2"/>
      <c r="C897" s="2"/>
      <c r="D897" s="2"/>
      <c r="E897" s="2"/>
      <c r="F897" s="2"/>
      <c r="G897" s="2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B898" s="2"/>
      <c r="C898" s="2"/>
      <c r="D898" s="2"/>
      <c r="E898" s="2"/>
      <c r="F898" s="2"/>
      <c r="G898" s="2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B899" s="2"/>
      <c r="C899" s="2"/>
      <c r="D899" s="2"/>
      <c r="E899" s="2"/>
      <c r="F899" s="2"/>
      <c r="G899" s="2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B900" s="2"/>
      <c r="C900" s="2"/>
      <c r="D900" s="2"/>
      <c r="E900" s="2"/>
      <c r="F900" s="2"/>
      <c r="G900" s="2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B901" s="2"/>
      <c r="C901" s="2"/>
      <c r="D901" s="2"/>
      <c r="E901" s="2"/>
      <c r="F901" s="2"/>
      <c r="G901" s="2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B902" s="2"/>
      <c r="C902" s="2"/>
      <c r="D902" s="2"/>
      <c r="E902" s="2"/>
      <c r="F902" s="2"/>
      <c r="G902" s="2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B903" s="2"/>
      <c r="C903" s="2"/>
      <c r="D903" s="2"/>
      <c r="E903" s="2"/>
      <c r="F903" s="2"/>
      <c r="G903" s="2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B904" s="2"/>
      <c r="C904" s="2"/>
      <c r="D904" s="2"/>
      <c r="E904" s="2"/>
      <c r="F904" s="2"/>
      <c r="G904" s="2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B905" s="2"/>
      <c r="C905" s="2"/>
      <c r="D905" s="2"/>
      <c r="E905" s="2"/>
      <c r="F905" s="2"/>
      <c r="G905" s="2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B906" s="2"/>
      <c r="C906" s="2"/>
      <c r="D906" s="2"/>
      <c r="E906" s="2"/>
      <c r="F906" s="2"/>
      <c r="G906" s="2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B907" s="2"/>
      <c r="C907" s="2"/>
      <c r="D907" s="2"/>
      <c r="E907" s="2"/>
      <c r="F907" s="2"/>
      <c r="G907" s="2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B908" s="2"/>
      <c r="C908" s="2"/>
      <c r="D908" s="2"/>
      <c r="E908" s="2"/>
      <c r="F908" s="2"/>
      <c r="G908" s="2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B909" s="2"/>
      <c r="C909" s="2"/>
      <c r="D909" s="2"/>
      <c r="E909" s="2"/>
      <c r="F909" s="2"/>
      <c r="G909" s="2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B910" s="2"/>
      <c r="C910" s="2"/>
      <c r="D910" s="2"/>
      <c r="E910" s="2"/>
      <c r="F910" s="2"/>
      <c r="G910" s="2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B911" s="2"/>
      <c r="C911" s="2"/>
      <c r="D911" s="2"/>
      <c r="E911" s="2"/>
      <c r="F911" s="2"/>
      <c r="G911" s="2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B912" s="2"/>
      <c r="C912" s="2"/>
      <c r="D912" s="2"/>
      <c r="E912" s="2"/>
      <c r="F912" s="2"/>
      <c r="G912" s="2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B913" s="2"/>
      <c r="C913" s="2"/>
      <c r="D913" s="2"/>
      <c r="E913" s="2"/>
      <c r="F913" s="2"/>
      <c r="G913" s="2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B914" s="2"/>
      <c r="C914" s="2"/>
      <c r="D914" s="2"/>
      <c r="E914" s="2"/>
      <c r="F914" s="2"/>
      <c r="G914" s="2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B915" s="2"/>
      <c r="C915" s="2"/>
      <c r="D915" s="2"/>
      <c r="E915" s="2"/>
      <c r="F915" s="2"/>
      <c r="G915" s="2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B916" s="2"/>
      <c r="C916" s="2"/>
      <c r="D916" s="2"/>
      <c r="E916" s="2"/>
      <c r="F916" s="2"/>
      <c r="G916" s="2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B917" s="2"/>
      <c r="C917" s="2"/>
      <c r="D917" s="2"/>
      <c r="E917" s="2"/>
      <c r="F917" s="2"/>
      <c r="G917" s="2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B918" s="2"/>
      <c r="C918" s="2"/>
      <c r="D918" s="2"/>
      <c r="E918" s="2"/>
      <c r="F918" s="2"/>
      <c r="G918" s="2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B919" s="2"/>
      <c r="C919" s="2"/>
      <c r="D919" s="2"/>
      <c r="E919" s="2"/>
      <c r="F919" s="2"/>
      <c r="G919" s="2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B920" s="2"/>
      <c r="C920" s="2"/>
      <c r="D920" s="2"/>
      <c r="E920" s="2"/>
      <c r="F920" s="2"/>
      <c r="G920" s="2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B921" s="2"/>
      <c r="C921" s="2"/>
      <c r="D921" s="2"/>
      <c r="E921" s="2"/>
      <c r="F921" s="2"/>
      <c r="G921" s="2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B922" s="2"/>
      <c r="C922" s="2"/>
      <c r="D922" s="2"/>
      <c r="E922" s="2"/>
      <c r="F922" s="2"/>
      <c r="G922" s="2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B923" s="2"/>
      <c r="C923" s="2"/>
      <c r="D923" s="2"/>
      <c r="E923" s="2"/>
      <c r="F923" s="2"/>
      <c r="G923" s="2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B924" s="2"/>
      <c r="C924" s="2"/>
      <c r="D924" s="2"/>
      <c r="E924" s="2"/>
      <c r="F924" s="2"/>
      <c r="G924" s="2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B925" s="2"/>
      <c r="C925" s="2"/>
      <c r="D925" s="2"/>
      <c r="E925" s="2"/>
      <c r="F925" s="2"/>
      <c r="G925" s="2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B926" s="2"/>
      <c r="C926" s="2"/>
      <c r="D926" s="2"/>
      <c r="E926" s="2"/>
      <c r="F926" s="2"/>
      <c r="G926" s="2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B927" s="2"/>
      <c r="C927" s="2"/>
      <c r="D927" s="2"/>
      <c r="E927" s="2"/>
      <c r="F927" s="2"/>
      <c r="G927" s="2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B928" s="2"/>
      <c r="C928" s="2"/>
      <c r="D928" s="2"/>
      <c r="E928" s="2"/>
      <c r="F928" s="2"/>
      <c r="G928" s="2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B929" s="2"/>
      <c r="C929" s="2"/>
      <c r="D929" s="2"/>
      <c r="E929" s="2"/>
      <c r="F929" s="2"/>
      <c r="G929" s="2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B930" s="2"/>
      <c r="C930" s="2"/>
      <c r="D930" s="2"/>
      <c r="E930" s="2"/>
      <c r="F930" s="2"/>
      <c r="G930" s="2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B931" s="2"/>
      <c r="C931" s="2"/>
      <c r="D931" s="2"/>
      <c r="E931" s="2"/>
      <c r="F931" s="2"/>
      <c r="G931" s="2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B932" s="2"/>
      <c r="C932" s="2"/>
      <c r="D932" s="2"/>
      <c r="E932" s="2"/>
      <c r="F932" s="2"/>
      <c r="G932" s="2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B933" s="2"/>
      <c r="C933" s="2"/>
      <c r="D933" s="2"/>
      <c r="E933" s="2"/>
      <c r="F933" s="2"/>
      <c r="G933" s="2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B934" s="2"/>
      <c r="C934" s="2"/>
      <c r="D934" s="2"/>
      <c r="E934" s="2"/>
      <c r="F934" s="2"/>
      <c r="G934" s="2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B935" s="2"/>
      <c r="C935" s="2"/>
      <c r="D935" s="2"/>
      <c r="E935" s="2"/>
      <c r="F935" s="2"/>
      <c r="G935" s="2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B936" s="2"/>
      <c r="C936" s="2"/>
      <c r="D936" s="2"/>
      <c r="E936" s="2"/>
      <c r="F936" s="2"/>
      <c r="G936" s="2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B937" s="2"/>
      <c r="C937" s="2"/>
      <c r="D937" s="2"/>
      <c r="E937" s="2"/>
      <c r="F937" s="2"/>
      <c r="G937" s="2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B938" s="2"/>
      <c r="C938" s="2"/>
      <c r="D938" s="2"/>
      <c r="E938" s="2"/>
      <c r="F938" s="2"/>
      <c r="G938" s="2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B939" s="2"/>
      <c r="C939" s="2"/>
      <c r="D939" s="2"/>
      <c r="E939" s="2"/>
      <c r="F939" s="2"/>
      <c r="G939" s="2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B940" s="2"/>
      <c r="C940" s="2"/>
      <c r="D940" s="2"/>
      <c r="E940" s="2"/>
      <c r="F940" s="2"/>
      <c r="G940" s="2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B941" s="2"/>
      <c r="C941" s="2"/>
      <c r="D941" s="2"/>
      <c r="E941" s="2"/>
      <c r="F941" s="2"/>
      <c r="G941" s="2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B942" s="2"/>
      <c r="C942" s="2"/>
      <c r="D942" s="2"/>
      <c r="E942" s="2"/>
      <c r="F942" s="2"/>
      <c r="G942" s="2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B943" s="2"/>
      <c r="C943" s="2"/>
      <c r="D943" s="2"/>
      <c r="E943" s="2"/>
      <c r="F943" s="2"/>
      <c r="G943" s="2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B944" s="2"/>
      <c r="C944" s="2"/>
      <c r="D944" s="2"/>
      <c r="E944" s="2"/>
      <c r="F944" s="2"/>
      <c r="G944" s="2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B945" s="2"/>
      <c r="C945" s="2"/>
      <c r="D945" s="2"/>
      <c r="E945" s="2"/>
      <c r="F945" s="2"/>
      <c r="G945" s="2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B946" s="2"/>
      <c r="C946" s="2"/>
      <c r="D946" s="2"/>
      <c r="E946" s="2"/>
      <c r="F946" s="2"/>
      <c r="G946" s="2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B947" s="2"/>
      <c r="C947" s="2"/>
      <c r="D947" s="2"/>
      <c r="E947" s="2"/>
      <c r="F947" s="2"/>
      <c r="G947" s="2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B948" s="2"/>
      <c r="C948" s="2"/>
      <c r="D948" s="2"/>
      <c r="E948" s="2"/>
      <c r="F948" s="2"/>
      <c r="G948" s="2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B949" s="2"/>
      <c r="C949" s="2"/>
      <c r="D949" s="2"/>
      <c r="E949" s="2"/>
      <c r="F949" s="2"/>
      <c r="G949" s="2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B950" s="2"/>
      <c r="C950" s="2"/>
      <c r="D950" s="2"/>
      <c r="E950" s="2"/>
      <c r="F950" s="2"/>
      <c r="G950" s="2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B951" s="2"/>
      <c r="C951" s="2"/>
      <c r="D951" s="2"/>
      <c r="E951" s="2"/>
      <c r="F951" s="2"/>
      <c r="G951" s="2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B952" s="2"/>
      <c r="C952" s="2"/>
      <c r="D952" s="2"/>
      <c r="E952" s="2"/>
      <c r="F952" s="2"/>
      <c r="G952" s="2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B953" s="2"/>
      <c r="C953" s="2"/>
      <c r="D953" s="2"/>
      <c r="E953" s="2"/>
      <c r="F953" s="2"/>
      <c r="G953" s="2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B954" s="2"/>
      <c r="C954" s="2"/>
      <c r="D954" s="2"/>
      <c r="E954" s="2"/>
      <c r="F954" s="2"/>
      <c r="G954" s="2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B955" s="2"/>
      <c r="C955" s="2"/>
      <c r="D955" s="2"/>
      <c r="E955" s="2"/>
      <c r="F955" s="2"/>
      <c r="G955" s="2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B956" s="2"/>
      <c r="C956" s="2"/>
      <c r="D956" s="2"/>
      <c r="E956" s="2"/>
      <c r="F956" s="2"/>
      <c r="G956" s="2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B957" s="2"/>
      <c r="C957" s="2"/>
      <c r="D957" s="2"/>
      <c r="E957" s="2"/>
      <c r="F957" s="2"/>
      <c r="G957" s="2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B958" s="2"/>
      <c r="C958" s="2"/>
      <c r="D958" s="2"/>
      <c r="E958" s="2"/>
      <c r="F958" s="2"/>
      <c r="G958" s="2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B959" s="2"/>
      <c r="C959" s="2"/>
      <c r="D959" s="2"/>
      <c r="E959" s="2"/>
      <c r="F959" s="2"/>
      <c r="G959" s="2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B960" s="2"/>
      <c r="C960" s="2"/>
      <c r="D960" s="2"/>
      <c r="E960" s="2"/>
      <c r="F960" s="2"/>
      <c r="G960" s="2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B961" s="2"/>
      <c r="C961" s="2"/>
      <c r="D961" s="2"/>
      <c r="E961" s="2"/>
      <c r="F961" s="2"/>
      <c r="G961" s="2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B962" s="2"/>
      <c r="C962" s="2"/>
      <c r="D962" s="2"/>
      <c r="E962" s="2"/>
      <c r="F962" s="2"/>
      <c r="G962" s="2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B963" s="2"/>
      <c r="C963" s="2"/>
      <c r="D963" s="2"/>
      <c r="E963" s="2"/>
      <c r="F963" s="2"/>
      <c r="G963" s="2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B964" s="2"/>
      <c r="C964" s="2"/>
      <c r="D964" s="2"/>
      <c r="E964" s="2"/>
      <c r="F964" s="2"/>
      <c r="G964" s="2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B965" s="2"/>
      <c r="C965" s="2"/>
      <c r="D965" s="2"/>
      <c r="E965" s="2"/>
      <c r="F965" s="2"/>
      <c r="G965" s="2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B966" s="2"/>
      <c r="C966" s="2"/>
      <c r="D966" s="2"/>
      <c r="E966" s="2"/>
      <c r="F966" s="2"/>
      <c r="G966" s="2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B967" s="2"/>
      <c r="C967" s="2"/>
      <c r="D967" s="2"/>
      <c r="E967" s="2"/>
      <c r="F967" s="2"/>
      <c r="G967" s="2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B968" s="2"/>
      <c r="C968" s="2"/>
      <c r="D968" s="2"/>
      <c r="E968" s="2"/>
      <c r="F968" s="2"/>
      <c r="G968" s="2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B969" s="2"/>
      <c r="C969" s="2"/>
      <c r="D969" s="2"/>
      <c r="E969" s="2"/>
      <c r="F969" s="2"/>
      <c r="G969" s="2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B970" s="2"/>
      <c r="C970" s="2"/>
      <c r="D970" s="2"/>
      <c r="E970" s="2"/>
      <c r="F970" s="2"/>
      <c r="G970" s="2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B971" s="2"/>
      <c r="C971" s="2"/>
      <c r="D971" s="2"/>
      <c r="E971" s="2"/>
      <c r="F971" s="2"/>
      <c r="G971" s="2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B972" s="2"/>
      <c r="C972" s="2"/>
      <c r="D972" s="2"/>
      <c r="E972" s="2"/>
      <c r="F972" s="2"/>
      <c r="G972" s="2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B973" s="2"/>
      <c r="C973" s="2"/>
      <c r="D973" s="2"/>
      <c r="E973" s="2"/>
      <c r="F973" s="2"/>
      <c r="G973" s="2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B974" s="2"/>
      <c r="C974" s="2"/>
      <c r="D974" s="2"/>
      <c r="E974" s="2"/>
      <c r="F974" s="2"/>
      <c r="G974" s="2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B975" s="2"/>
      <c r="C975" s="2"/>
      <c r="D975" s="2"/>
      <c r="E975" s="2"/>
      <c r="F975" s="2"/>
      <c r="G975" s="2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B976" s="2"/>
      <c r="C976" s="2"/>
      <c r="D976" s="2"/>
      <c r="E976" s="2"/>
      <c r="F976" s="2"/>
      <c r="G976" s="2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B977" s="2"/>
      <c r="C977" s="2"/>
      <c r="D977" s="2"/>
      <c r="E977" s="2"/>
      <c r="F977" s="2"/>
      <c r="G977" s="2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B978" s="2"/>
      <c r="C978" s="2"/>
      <c r="D978" s="2"/>
      <c r="E978" s="2"/>
      <c r="F978" s="2"/>
      <c r="G978" s="2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B979" s="2"/>
      <c r="C979" s="2"/>
      <c r="D979" s="2"/>
      <c r="E979" s="2"/>
      <c r="F979" s="2"/>
      <c r="G979" s="2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B980" s="2"/>
      <c r="C980" s="2"/>
      <c r="D980" s="2"/>
      <c r="E980" s="2"/>
      <c r="F980" s="2"/>
      <c r="G980" s="2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B981" s="2"/>
      <c r="C981" s="2"/>
      <c r="D981" s="2"/>
      <c r="E981" s="2"/>
      <c r="F981" s="2"/>
      <c r="G981" s="2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B982" s="2"/>
      <c r="C982" s="2"/>
      <c r="D982" s="2"/>
      <c r="E982" s="2"/>
      <c r="F982" s="2"/>
      <c r="G982" s="2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B983" s="2"/>
      <c r="C983" s="2"/>
      <c r="D983" s="2"/>
      <c r="E983" s="2"/>
      <c r="F983" s="2"/>
      <c r="G983" s="2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B984" s="2"/>
      <c r="C984" s="2"/>
      <c r="D984" s="2"/>
      <c r="E984" s="2"/>
      <c r="F984" s="2"/>
      <c r="G984" s="2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B985" s="2"/>
      <c r="C985" s="2"/>
      <c r="D985" s="2"/>
      <c r="E985" s="2"/>
      <c r="F985" s="2"/>
      <c r="G985" s="2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B986" s="2"/>
      <c r="C986" s="2"/>
      <c r="D986" s="2"/>
      <c r="E986" s="2"/>
      <c r="F986" s="2"/>
      <c r="G986" s="2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B987" s="2"/>
      <c r="C987" s="2"/>
      <c r="D987" s="2"/>
      <c r="E987" s="2"/>
      <c r="F987" s="2"/>
      <c r="G987" s="2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B988" s="2"/>
      <c r="C988" s="2"/>
      <c r="D988" s="2"/>
      <c r="E988" s="2"/>
      <c r="F988" s="2"/>
      <c r="G988" s="2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B989" s="2"/>
      <c r="C989" s="2"/>
      <c r="D989" s="2"/>
      <c r="E989" s="2"/>
      <c r="F989" s="2"/>
      <c r="G989" s="2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B990" s="2"/>
      <c r="C990" s="2"/>
      <c r="D990" s="2"/>
      <c r="E990" s="2"/>
      <c r="F990" s="2"/>
      <c r="G990" s="2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B991" s="2"/>
      <c r="C991" s="2"/>
      <c r="D991" s="2"/>
      <c r="E991" s="2"/>
      <c r="F991" s="2"/>
      <c r="G991" s="2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B992" s="2"/>
      <c r="C992" s="2"/>
      <c r="D992" s="2"/>
      <c r="E992" s="2"/>
      <c r="F992" s="2"/>
      <c r="G992" s="2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B993" s="2"/>
      <c r="C993" s="2"/>
      <c r="D993" s="2"/>
      <c r="E993" s="2"/>
      <c r="F993" s="2"/>
      <c r="G993" s="2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B994" s="2"/>
      <c r="C994" s="2"/>
      <c r="D994" s="2"/>
      <c r="E994" s="2"/>
      <c r="F994" s="2"/>
      <c r="G994" s="2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B995" s="2"/>
      <c r="C995" s="2"/>
      <c r="D995" s="2"/>
      <c r="E995" s="2"/>
      <c r="F995" s="2"/>
      <c r="G995" s="2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B996" s="2"/>
      <c r="C996" s="2"/>
      <c r="D996" s="2"/>
      <c r="E996" s="2"/>
      <c r="F996" s="2"/>
      <c r="G996" s="2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B997" s="2"/>
      <c r="C997" s="2"/>
      <c r="D997" s="2"/>
      <c r="E997" s="2"/>
      <c r="F997" s="2"/>
      <c r="G997" s="2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B998" s="2"/>
      <c r="C998" s="2"/>
      <c r="D998" s="2"/>
      <c r="E998" s="2"/>
      <c r="F998" s="2"/>
      <c r="G998" s="2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B999" s="2"/>
      <c r="C999" s="2"/>
      <c r="D999" s="2"/>
      <c r="E999" s="2"/>
      <c r="F999" s="2"/>
      <c r="G999" s="2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B1000" s="2"/>
      <c r="C1000" s="2"/>
      <c r="D1000" s="2"/>
      <c r="E1000" s="2"/>
      <c r="F1000" s="2"/>
      <c r="G1000" s="2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B1001" s="2"/>
      <c r="C1001" s="2"/>
      <c r="D1001" s="2"/>
      <c r="E1001" s="2"/>
      <c r="F1001" s="2"/>
      <c r="G1001" s="2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B1002" s="2"/>
      <c r="C1002" s="2"/>
      <c r="D1002" s="2"/>
      <c r="E1002" s="2"/>
      <c r="F1002" s="2"/>
      <c r="G1002" s="2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B1003" s="2"/>
      <c r="C1003" s="2"/>
      <c r="D1003" s="2"/>
      <c r="E1003" s="2"/>
      <c r="F1003" s="2"/>
      <c r="G1003" s="2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B1004" s="2"/>
      <c r="C1004" s="2"/>
      <c r="D1004" s="2"/>
      <c r="E1004" s="2"/>
      <c r="F1004" s="2"/>
      <c r="G1004" s="2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B1005" s="2"/>
      <c r="C1005" s="2"/>
      <c r="D1005" s="2"/>
      <c r="E1005" s="2"/>
      <c r="F1005" s="2"/>
      <c r="G1005" s="2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B1006" s="2"/>
      <c r="C1006" s="2"/>
      <c r="D1006" s="2"/>
      <c r="E1006" s="2"/>
      <c r="F1006" s="2"/>
      <c r="G1006" s="2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B1007" s="2"/>
      <c r="C1007" s="2"/>
      <c r="D1007" s="2"/>
      <c r="E1007" s="2"/>
      <c r="F1007" s="2"/>
      <c r="G1007" s="2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B1008" s="2"/>
      <c r="C1008" s="2"/>
      <c r="D1008" s="2"/>
      <c r="E1008" s="2"/>
      <c r="F1008" s="2"/>
      <c r="G1008" s="2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>
      <c r="B1009" s="2"/>
      <c r="C1009" s="2"/>
      <c r="D1009" s="2"/>
      <c r="E1009" s="2"/>
      <c r="F1009" s="2"/>
      <c r="G1009" s="2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>
      <c r="B1010" s="2"/>
      <c r="C1010" s="2"/>
      <c r="D1010" s="2"/>
      <c r="E1010" s="2"/>
      <c r="F1010" s="2"/>
      <c r="G1010" s="2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>
      <c r="B1011" s="2"/>
      <c r="C1011" s="2"/>
      <c r="D1011" s="2"/>
      <c r="E1011" s="2"/>
      <c r="F1011" s="2"/>
      <c r="G1011" s="2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>
      <c r="B1012" s="2"/>
      <c r="C1012" s="2"/>
      <c r="D1012" s="2"/>
      <c r="E1012" s="2"/>
      <c r="F1012" s="2"/>
      <c r="G1012" s="2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>
      <c r="B1013" s="2"/>
      <c r="C1013" s="2"/>
      <c r="D1013" s="2"/>
      <c r="E1013" s="2"/>
      <c r="F1013" s="2"/>
      <c r="G1013" s="2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>
      <c r="B1014" s="2"/>
      <c r="C1014" s="2"/>
      <c r="D1014" s="2"/>
      <c r="E1014" s="2"/>
      <c r="F1014" s="2"/>
      <c r="G1014" s="2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>
      <c r="B1015" s="2"/>
      <c r="C1015" s="2"/>
      <c r="D1015" s="2"/>
      <c r="E1015" s="2"/>
      <c r="F1015" s="2"/>
      <c r="G1015" s="2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>
      <c r="B1016" s="2"/>
      <c r="C1016" s="2"/>
      <c r="D1016" s="2"/>
      <c r="E1016" s="2"/>
      <c r="F1016" s="2"/>
      <c r="G1016" s="2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>
      <c r="B1017" s="2"/>
      <c r="C1017" s="2"/>
      <c r="D1017" s="2"/>
      <c r="E1017" s="2"/>
      <c r="F1017" s="2"/>
      <c r="G1017" s="2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  <row r="1018">
      <c r="B1018" s="2"/>
      <c r="C1018" s="2"/>
      <c r="D1018" s="2"/>
      <c r="E1018" s="2"/>
      <c r="F1018" s="2"/>
      <c r="G1018" s="2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</row>
  </sheetData>
  <autoFilter ref="$A$1:$U$1018">
    <sortState ref="A1:U1018">
      <sortCondition ref="C1:C1018"/>
      <sortCondition ref="D1:D1018"/>
      <sortCondition ref="B1:B1018"/>
      <sortCondition ref="T1:T1018"/>
      <sortCondition ref="Q1:Q1018"/>
    </sortState>
  </autoFilter>
  <drawing r:id="rId1"/>
</worksheet>
</file>